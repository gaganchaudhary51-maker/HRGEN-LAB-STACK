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_Main_And_Sub_Tabs_Flow" sheetId="1" state="visible" r:id="rId2"/>
    <sheet name="2_Visual_DragDrop_Screen_Grid" sheetId="2" state="visible" r:id="rId3"/>
    <sheet name="3_Dropdown_Master_List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<sst xmlns="http://schemas.openxmlformats.org/spreadsheetml/2006/main" count="317" uniqueCount="211">
  <si>
    <t xml:space="preserve">PATHO-AI LIMS 2026 — EDITABLE UX/UI WORKFLOW &amp; FEATURE BLUEPRINT (DROPDOWN + DRAG-DROP)</t>
  </si>
  <si>
    <r>
      <rPr>
        <b val="true"/>
        <sz val="10"/>
        <color rgb="FFCCFBF1"/>
        <rFont val="Noto Sans Devanagari"/>
        <family val="2"/>
      </rPr>
      <t xml:space="preserve">कैसे इस्तेमाल करें </t>
    </r>
    <r>
      <rPr>
        <b val="true"/>
        <sz val="10"/>
        <color rgb="FFCCFBF1"/>
        <rFont val="Calibri"/>
        <family val="0"/>
        <charset val="1"/>
      </rPr>
      <t xml:space="preserve">(How to Use): </t>
    </r>
    <r>
      <rPr>
        <b val="true"/>
        <sz val="10"/>
        <color rgb="FFCCFBF1"/>
        <rFont val="Noto Sans Devanagari"/>
        <family val="2"/>
      </rPr>
      <t xml:space="preserve">हल्के पीले</t>
    </r>
    <r>
      <rPr>
        <b val="true"/>
        <sz val="10"/>
        <color rgb="FFCCFBF1"/>
        <rFont val="Calibri"/>
        <family val="0"/>
        <charset val="1"/>
      </rPr>
      <t xml:space="preserve">/</t>
    </r>
    <r>
      <rPr>
        <b val="true"/>
        <sz val="10"/>
        <color rgb="FFCCFBF1"/>
        <rFont val="Noto Sans Devanagari"/>
        <family val="2"/>
      </rPr>
      <t xml:space="preserve">हरे </t>
    </r>
    <r>
      <rPr>
        <b val="true"/>
        <sz val="10"/>
        <color rgb="FFCCFBF1"/>
        <rFont val="Calibri"/>
        <family val="0"/>
        <charset val="1"/>
      </rPr>
      <t xml:space="preserve">(Editable) </t>
    </r>
    <r>
      <rPr>
        <b val="true"/>
        <sz val="10"/>
        <color rgb="FFCCFBF1"/>
        <rFont val="Noto Sans Devanagari"/>
        <family val="2"/>
      </rPr>
      <t xml:space="preserve">बॉक्स में क्लिक करके </t>
    </r>
    <r>
      <rPr>
        <b val="true"/>
        <sz val="10"/>
        <color rgb="FFCCFBF1"/>
        <rFont val="Calibri"/>
        <family val="0"/>
        <charset val="1"/>
      </rPr>
      <t xml:space="preserve">Dropdown </t>
    </r>
    <r>
      <rPr>
        <b val="true"/>
        <sz val="10"/>
        <color rgb="FFCCFBF1"/>
        <rFont val="Noto Sans Devanagari"/>
        <family val="2"/>
      </rPr>
      <t xml:space="preserve">से चुनें या किसी भी </t>
    </r>
    <r>
      <rPr>
        <b val="true"/>
        <sz val="10"/>
        <color rgb="FFCCFBF1"/>
        <rFont val="Calibri"/>
        <family val="0"/>
        <charset val="1"/>
      </rPr>
      <t xml:space="preserve">Row </t>
    </r>
    <r>
      <rPr>
        <b val="true"/>
        <sz val="10"/>
        <color rgb="FFCCFBF1"/>
        <rFont val="Noto Sans Devanagari"/>
        <family val="2"/>
      </rPr>
      <t xml:space="preserve">को </t>
    </r>
    <r>
      <rPr>
        <b val="true"/>
        <sz val="10"/>
        <color rgb="FFCCFBF1"/>
        <rFont val="Calibri"/>
        <family val="0"/>
        <charset val="1"/>
      </rPr>
      <t xml:space="preserve">Drag/Cut-Paste </t>
    </r>
    <r>
      <rPr>
        <b val="true"/>
        <sz val="10"/>
        <color rgb="FFCCFBF1"/>
        <rFont val="Noto Sans Devanagari"/>
        <family val="2"/>
      </rPr>
      <t xml:space="preserve">करके ऊपर</t>
    </r>
    <r>
      <rPr>
        <b val="true"/>
        <sz val="10"/>
        <color rgb="FFCCFBF1"/>
        <rFont val="Calibri"/>
        <family val="0"/>
        <charset val="1"/>
      </rPr>
      <t xml:space="preserve">-</t>
    </r>
    <r>
      <rPr>
        <b val="true"/>
        <sz val="10"/>
        <color rgb="FFCCFBF1"/>
        <rFont val="Noto Sans Devanagari"/>
        <family val="2"/>
      </rPr>
      <t xml:space="preserve">नीचे करें। </t>
    </r>
    <r>
      <rPr>
        <b val="true"/>
        <sz val="10"/>
        <color rgb="FFCCFBF1"/>
        <rFont val="Calibri"/>
        <family val="0"/>
        <charset val="1"/>
      </rPr>
      <t xml:space="preserve">Column H </t>
    </r>
    <r>
      <rPr>
        <b val="true"/>
        <sz val="10"/>
        <color rgb="FFCCFBF1"/>
        <rFont val="Noto Sans Devanagari"/>
        <family val="2"/>
      </rPr>
      <t xml:space="preserve">में अपनी पसंद लिखें और फाइल वापस भेज दें</t>
    </r>
    <r>
      <rPr>
        <b val="true"/>
        <sz val="10"/>
        <color rgb="FFCCFBF1"/>
        <rFont val="Calibri"/>
        <family val="0"/>
        <charset val="1"/>
      </rPr>
      <t xml:space="preserve">!</t>
    </r>
  </si>
  <si>
    <t xml:space="preserve">ACTIVE MAIN FRONT TABS</t>
  </si>
  <si>
    <t xml:space="preserve">TOTAL SUB-FEATURES MAPPED</t>
  </si>
  <si>
    <t xml:space="preserve">DRAWERS &amp; POPUP MODALS</t>
  </si>
  <si>
    <t xml:space="preserve">ITEMS MARKED FOR CHANGE / NEW</t>
  </si>
  <si>
    <t xml:space="preserve">Top / Sidebar Main Tabs</t>
  </si>
  <si>
    <t xml:space="preserve">Workflow Modules Configured</t>
  </si>
  <si>
    <t xml:space="preserve">Clean Slide-Over / Popup UI</t>
  </si>
  <si>
    <t xml:space="preserve">Custom Upgrades Requested</t>
  </si>
  <si>
    <r>
      <rPr>
        <b val="true"/>
        <sz val="11"/>
        <color rgb="FFFFFFFF"/>
        <rFont val="Calibri"/>
        <family val="0"/>
        <charset val="1"/>
      </rPr>
      <t xml:space="preserve">SECTION 1: MAIN FRONT TABS (</t>
    </r>
    <r>
      <rPr>
        <b val="true"/>
        <sz val="11"/>
        <color rgb="FFFFFFFF"/>
        <rFont val="Noto Sans Devanagari"/>
        <family val="2"/>
      </rPr>
      <t xml:space="preserve">फ्रंट स्क्रीन पर कौन</t>
    </r>
    <r>
      <rPr>
        <b val="true"/>
        <sz val="11"/>
        <color rgb="FFFFFFFF"/>
        <rFont val="Calibri"/>
        <family val="0"/>
        <charset val="1"/>
      </rPr>
      <t xml:space="preserve">-</t>
    </r>
    <r>
      <rPr>
        <b val="true"/>
        <sz val="11"/>
        <color rgb="FFFFFFFF"/>
        <rFont val="Noto Sans Devanagari"/>
        <family val="2"/>
      </rPr>
      <t xml:space="preserve">कौन से मुख्य टैब दिखेंगे और किस क्रम में रहेंगे — </t>
    </r>
    <r>
      <rPr>
        <b val="true"/>
        <sz val="11"/>
        <color rgb="FFFFFFFF"/>
        <rFont val="Calibri"/>
        <family val="0"/>
        <charset val="1"/>
      </rPr>
      <t xml:space="preserve">Order 1, 2, 3 </t>
    </r>
    <r>
      <rPr>
        <b val="true"/>
        <sz val="11"/>
        <color rgb="FFFFFFFF"/>
        <rFont val="Noto Sans Devanagari"/>
        <family val="2"/>
      </rPr>
      <t xml:space="preserve">बदलें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</si>
  <si>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Tab Order (#)</t>
  </si>
  <si>
    <t xml:space="preserve">Tab Code</t>
  </si>
  <si>
    <t xml:space="preserve">Main Front Tab Name (Editable)</t>
  </si>
  <si>
    <t xml:space="preserve">Screen Position (Dropdown)</t>
  </si>
  <si>
    <t xml:space="preserve">Target User Role (Dropdown)</t>
  </si>
  <si>
    <t xml:space="preserve">Your Decision (Dropdown)</t>
  </si>
  <si>
    <t xml:space="preserve">Default View Inside Tab</t>
  </si>
  <si>
    <r>
      <rPr>
        <b val="true"/>
        <sz val="10"/>
        <color rgb="FFFFFFFF"/>
        <rFont val="Calibri"/>
        <family val="0"/>
        <charset val="1"/>
      </rPr>
      <t xml:space="preserve">Your Custom Notes / Changes (</t>
    </r>
    <r>
      <rPr>
        <b val="true"/>
        <sz val="10"/>
        <color rgb="FFFFFFFF"/>
        <rFont val="Noto Sans Devanagari"/>
        <family val="2"/>
      </rPr>
      <t xml:space="preserve">यहाँ लिखें क्या बदलना है</t>
    </r>
    <r>
      <rPr>
        <b val="true"/>
        <sz val="10"/>
        <color rgb="FFFFFFFF"/>
        <rFont val="Calibri"/>
        <family val="0"/>
        <charset val="1"/>
      </rPr>
      <t xml:space="preserve">)</t>
    </r>
  </si>
  <si>
    <t xml:space="preserve">Live Route Summary [Auto]</t>
  </si>
  <si>
    <t xml:space="preserve">TAB-01</t>
  </si>
  <si>
    <t xml:space="preserve">📊 Dashboard (Executive &amp; Sales)</t>
  </si>
  <si>
    <t xml:space="preserve">Top Header Bar</t>
  </si>
  <si>
    <t xml:space="preserve">All Staff</t>
  </si>
  <si>
    <r>
      <rPr>
        <b val="true"/>
        <sz val="10"/>
        <color rgb="FF0F172A"/>
        <rFont val="Calibri"/>
        <family val="0"/>
        <charset val="1"/>
      </rPr>
      <t xml:space="preserve">Keep / Required (</t>
    </r>
    <r>
      <rPr>
        <b val="true"/>
        <sz val="10"/>
        <color rgb="FF0F172A"/>
        <rFont val="Noto Sans Devanagari"/>
        <family val="2"/>
      </rPr>
      <t xml:space="preserve">रखना है</t>
    </r>
    <r>
      <rPr>
        <b val="true"/>
        <sz val="10"/>
        <color rgb="FF0F172A"/>
        <rFont val="Calibri"/>
        <family val="0"/>
        <charset val="1"/>
      </rPr>
      <t xml:space="preserve">)</t>
    </r>
  </si>
  <si>
    <t xml:space="preserve">4 KPI Cards + 3 Live Charts + Quick Dept Cards</t>
  </si>
  <si>
    <r>
      <rPr>
        <sz val="10"/>
        <color rgb="FF0F172A"/>
        <rFont val="Noto Sans Devanagari"/>
        <family val="2"/>
      </rPr>
      <t xml:space="preserve">यहाँ अपनी नोट लिखें </t>
    </r>
    <r>
      <rPr>
        <sz val="10"/>
        <color rgb="FF0F172A"/>
        <rFont val="Calibri"/>
        <family val="0"/>
        <charset val="1"/>
      </rPr>
      <t xml:space="preserve">(</t>
    </r>
    <r>
      <rPr>
        <sz val="10"/>
        <color rgb="FF0F172A"/>
        <rFont val="Noto Sans Devanagari"/>
        <family val="2"/>
      </rPr>
      <t xml:space="preserve">उदा</t>
    </r>
    <r>
      <rPr>
        <sz val="10"/>
        <color rgb="FF0F172A"/>
        <rFont val="Calibri"/>
        <family val="0"/>
        <charset val="1"/>
      </rPr>
      <t xml:space="preserve">. </t>
    </r>
    <r>
      <rPr>
        <sz val="10"/>
        <color rgb="FF0F172A"/>
        <rFont val="Noto Sans Devanagari"/>
        <family val="2"/>
      </rPr>
      <t xml:space="preserve">यही होम पेज रहे</t>
    </r>
    <r>
      <rPr>
        <sz val="10"/>
        <color rgb="FF0F172A"/>
        <rFont val="Calibri"/>
        <family val="0"/>
        <charset val="1"/>
      </rPr>
      <t xml:space="preserve">)</t>
    </r>
  </si>
  <si>
    <t xml:space="preserve">TAB-02</t>
  </si>
  <si>
    <t xml:space="preserve">🔬 Lab Operations (Worklist Step 1–5)</t>
  </si>
  <si>
    <t xml:space="preserve">Pre-Analytical -&gt; Analytical -&gt; Post-Analytical Queue</t>
  </si>
  <si>
    <t xml:space="preserve">सैंपल क्यू और स्टेज फिल्टर</t>
  </si>
  <si>
    <t xml:space="preserve">TAB-03</t>
  </si>
  <si>
    <t xml:space="preserve">💼 Business &amp; B2B/B2C Sales</t>
  </si>
  <si>
    <t xml:space="preserve">Lab Owner / Admin</t>
  </si>
  <si>
    <t xml:space="preserve">4 Sub-Tabs: Sales, B2B/CC Wallet, Outsource, Rates</t>
  </si>
  <si>
    <r>
      <rPr>
        <sz val="10"/>
        <color rgb="FF0F172A"/>
        <rFont val="Noto Sans Devanagari"/>
        <family val="2"/>
      </rPr>
      <t xml:space="preserve">बी</t>
    </r>
    <r>
      <rPr>
        <sz val="10"/>
        <color rgb="FF0F172A"/>
        <rFont val="Calibri"/>
        <family val="0"/>
        <charset val="1"/>
      </rPr>
      <t xml:space="preserve">2</t>
    </r>
    <r>
      <rPr>
        <sz val="10"/>
        <color rgb="FF0F172A"/>
        <rFont val="Noto Sans Devanagari"/>
        <family val="2"/>
      </rPr>
      <t xml:space="preserve">बी और सेल्स रिपोर्ट</t>
    </r>
  </si>
  <si>
    <t xml:space="preserve">TAB-04</t>
  </si>
  <si>
    <t xml:space="preserve">🛡️ Quality Control (NABL QC &amp; LIS)</t>
  </si>
  <si>
    <t xml:space="preserve">Lab Technician</t>
  </si>
  <si>
    <t xml:space="preserve">Sysmex/Erba/Cobas HL7 Sync + Levey-Jennings Chart</t>
  </si>
  <si>
    <t xml:space="preserve">मशीन इंटरफेस और क्यूसी</t>
  </si>
  <si>
    <t xml:space="preserve">TAB-05</t>
  </si>
  <si>
    <t xml:space="preserve">📦 Inventory &amp; Home Pickup</t>
  </si>
  <si>
    <t xml:space="preserve">Vacutainer/Reagent Stock + Rider Pickup Table</t>
  </si>
  <si>
    <t xml:space="preserve">स्टॉक और होम पिकअप</t>
  </si>
  <si>
    <t xml:space="preserve">TAB-06</t>
  </si>
  <si>
    <t xml:space="preserve">👥 HR, Staff Salary &amp; Expense P&amp;L</t>
  </si>
  <si>
    <t xml:space="preserve">Staff Attendance, Salary Slip, Daily Expense &amp; P&amp;L</t>
  </si>
  <si>
    <t xml:space="preserve">स्टाफ सैलरी और खर्चा</t>
  </si>
  <si>
    <t xml:space="preserve">TAB-07</t>
  </si>
  <si>
    <t xml:space="preserve">⚙️ Lab Setup &amp; Super Admin</t>
  </si>
  <si>
    <t xml:space="preserve">Top Quick Action Button</t>
  </si>
  <si>
    <t xml:space="preserve">Letterhead, Digital Sign, Custom Column Builder</t>
  </si>
  <si>
    <t xml:space="preserve">लेटरहेड और कस्टम कॉलम</t>
  </si>
  <si>
    <t xml:space="preserve">TAB-08</t>
  </si>
  <si>
    <t xml:space="preserve">🎙️ Hey Zia Live Voice AI</t>
  </si>
  <si>
    <t xml:space="preserve">Floating Bottom-Right</t>
  </si>
  <si>
    <t xml:space="preserve">Hands-Free Hindi/Hinglish Voice Assistant</t>
  </si>
  <si>
    <t xml:space="preserve">बोलकर रजिस्ट्रेशन और रिपोर्ट</t>
  </si>
  <si>
    <t xml:space="preserve">TAB-09</t>
  </si>
  <si>
    <r>
      <rPr>
        <sz val="10"/>
        <color rgb="FF0F172A"/>
        <rFont val="Calibri"/>
        <family val="0"/>
        <charset val="1"/>
      </rPr>
      <t xml:space="preserve">&lt;-- </t>
    </r>
    <r>
      <rPr>
        <sz val="10"/>
        <color rgb="FF0F172A"/>
        <rFont val="Noto Sans Devanagari"/>
        <family val="2"/>
      </rPr>
      <t xml:space="preserve">नया </t>
    </r>
    <r>
      <rPr>
        <sz val="10"/>
        <color rgb="FF0F172A"/>
        <rFont val="Calibri"/>
        <family val="0"/>
        <charset val="1"/>
      </rPr>
      <t xml:space="preserve">Main Tab </t>
    </r>
    <r>
      <rPr>
        <sz val="10"/>
        <color rgb="FF0F172A"/>
        <rFont val="Noto Sans Devanagari"/>
        <family val="2"/>
      </rPr>
      <t xml:space="preserve">जोड़ना हो तो यहाँ नाम लिखें</t>
    </r>
  </si>
  <si>
    <t xml:space="preserve">TAB-10</t>
  </si>
  <si>
    <r>
      <rPr>
        <b val="true"/>
        <sz val="11"/>
        <color rgb="FFFFFFFF"/>
        <rFont val="Calibri"/>
        <family val="0"/>
        <charset val="1"/>
      </rPr>
      <t xml:space="preserve">SECTION 2: SUB-TABS &amp; FEATURES WORKFLOW (</t>
    </r>
    <r>
      <rPr>
        <b val="true"/>
        <sz val="11"/>
        <color rgb="FFFFFFFF"/>
        <rFont val="Noto Sans Devanagari"/>
        <family val="2"/>
      </rPr>
      <t xml:space="preserve">कौन सा फीचर किस </t>
    </r>
    <r>
      <rPr>
        <b val="true"/>
        <sz val="11"/>
        <color rgb="FFFFFFFF"/>
        <rFont val="Calibri"/>
        <family val="0"/>
        <charset val="1"/>
      </rPr>
      <t xml:space="preserve">Main Tab </t>
    </r>
    <r>
      <rPr>
        <b val="true"/>
        <sz val="11"/>
        <color rgb="FFFFFFFF"/>
        <rFont val="Noto Sans Devanagari"/>
        <family val="2"/>
      </rPr>
      <t xml:space="preserve">में रहेगा</t>
    </r>
    <r>
      <rPr>
        <b val="true"/>
        <sz val="11"/>
        <color rgb="FFFFFFFF"/>
        <rFont val="Calibri"/>
        <family val="0"/>
        <charset val="1"/>
      </rPr>
      <t xml:space="preserve">, Drawer </t>
    </r>
    <r>
      <rPr>
        <b val="true"/>
        <sz val="11"/>
        <color rgb="FFFFFFFF"/>
        <rFont val="Noto Sans Devanagari"/>
        <family val="2"/>
      </rPr>
      <t xml:space="preserve">में खुलेगा या </t>
    </r>
    <r>
      <rPr>
        <b val="true"/>
        <sz val="11"/>
        <color rgb="FFFFFFFF"/>
        <rFont val="Calibri"/>
        <family val="0"/>
        <charset val="1"/>
      </rPr>
      <t xml:space="preserve">Popup </t>
    </r>
    <r>
      <rPr>
        <b val="true"/>
        <sz val="11"/>
        <color rgb="FFFFFFFF"/>
        <rFont val="Noto Sans Devanagari"/>
        <family val="2"/>
      </rPr>
      <t xml:space="preserve">में — </t>
    </r>
    <r>
      <rPr>
        <b val="true"/>
        <sz val="11"/>
        <color rgb="FFFFFFFF"/>
        <rFont val="Calibri"/>
        <family val="0"/>
        <charset val="1"/>
      </rPr>
      <t xml:space="preserve">Dropdown </t>
    </r>
    <r>
      <rPr>
        <b val="true"/>
        <sz val="11"/>
        <color rgb="FFFFFFFF"/>
        <rFont val="Noto Sans Devanagari"/>
        <family val="2"/>
      </rPr>
      <t xml:space="preserve">से चुनें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</si>
  <si>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Seq (#)</t>
  </si>
  <si>
    <t xml:space="preserve">Clinical / Lab Stage (Dropdown)</t>
  </si>
  <si>
    <t xml:space="preserve">Sub-Tab / Feature Name (Editable)</t>
  </si>
  <si>
    <t xml:space="preserve">Parent Main Tab (Dropdown)</t>
  </si>
  <si>
    <t xml:space="preserve">How It Opens / UI Type (Dropdown)</t>
  </si>
  <si>
    <t xml:space="preserve">Included Sub-Features, Fields &amp; Buttons (Editable)</t>
  </si>
  <si>
    <r>
      <rPr>
        <b val="true"/>
        <sz val="10"/>
        <color rgb="FFFFFFFF"/>
        <rFont val="Calibri"/>
        <family val="0"/>
        <charset val="1"/>
      </rPr>
      <t xml:space="preserve">Your Instructions (</t>
    </r>
    <r>
      <rPr>
        <b val="true"/>
        <sz val="10"/>
        <color rgb="FFFFFFFF"/>
        <rFont val="Noto Sans Devanagari"/>
        <family val="2"/>
      </rPr>
      <t xml:space="preserve">यहाँ लिखें कहाँ रखना है या क्या नया जोड़ना है</t>
    </r>
    <r>
      <rPr>
        <b val="true"/>
        <sz val="10"/>
        <color rgb="FFFFFFFF"/>
        <rFont val="Calibri"/>
        <family val="0"/>
        <charset val="1"/>
      </rPr>
      <t xml:space="preserve">)</t>
    </r>
  </si>
  <si>
    <t xml:space="preserve">Mapped UI Path [Auto]</t>
  </si>
  <si>
    <t xml:space="preserve">Step 1: Pre-Analytical (Reg &amp; Bill)</t>
  </si>
  <si>
    <t xml:space="preserve">➕ New Patient Registration &amp; B2C/B2B Billing</t>
  </si>
  <si>
    <t xml:space="preserve">Right Slide-Over Drawer</t>
  </si>
  <si>
    <t xml:space="preserve">Title-&gt;Auto Gender, Age, Mobile, Ref Doctor/CC, Package 1-Click, Test Cards, Net Bill</t>
  </si>
  <si>
    <t xml:space="preserve">🏷️ Sample Barcode Sticker &amp; Tube List</t>
  </si>
  <si>
    <t xml:space="preserve">Center Popup Modal</t>
  </si>
  <si>
    <t xml:space="preserve">Patient Name, Barcode Lines, SMP-ID, Collection Time, Required Vacutainer Vials, Print</t>
  </si>
  <si>
    <t xml:space="preserve">🛵 Home Sample Pickup &amp; Rider Dispatch</t>
  </si>
  <si>
    <t xml:space="preserve">Patient Address, Slot, Assign Phlebotomist Rider, Status Toggle, 1-Click WhatsApp Rider Alert</t>
  </si>
  <si>
    <t xml:space="preserve">Step 2: Lab Worklist &amp; Receiving</t>
  </si>
  <si>
    <t xml:space="preserve">📋 3-Stage Pipeline Worklist (Pre / Lab / Post)</t>
  </si>
  <si>
    <t xml:space="preserve">Front Main Table / Card</t>
  </si>
  <si>
    <t xml:space="preserve">Stage Filter Buttons, Search Bar, Priority Filter, Sample Queue Table, Quick Action Buttons</t>
  </si>
  <si>
    <t xml:space="preserve">⚠️ Sample Rejection &amp; Re-Collection Alert</t>
  </si>
  <si>
    <t xml:space="preserve">Hemolyzed / Clotted / QNS Rejection Button + Security Audit Log Entry</t>
  </si>
  <si>
    <t xml:space="preserve">Step 3: Analytical &amp; Machine LIS</t>
  </si>
  <si>
    <t xml:space="preserve">🤖 Automated Analyzer LIS Sync (HL7 / ASTM)</t>
  </si>
  <si>
    <t xml:space="preserve">Sysmex XN-550, Erba XL-640, Roche Cobas Online Cards + Live HL7 Stream + 1-Click Batch Sync</t>
  </si>
  <si>
    <t xml:space="preserve">🔬 Test Result Entry &amp; Auto-Formula (LDL)</t>
  </si>
  <si>
    <t xml:space="preserve">Gender-Aware Ref Ranges, Auto Normal/Abnormal Fill, Friedewald LDL Calc, Critical Flags</t>
  </si>
  <si>
    <t xml:space="preserve">📈 NABL Delta Check (Past Visit vs Today)</t>
  </si>
  <si>
    <t xml:space="preserve">Previous Visit Reading Badge, Delta % Change &amp; Comparison Bar Chart inside Result Drawer</t>
  </si>
  <si>
    <t xml:space="preserve">Step 4: Post-Analytical &amp; Dispatch</t>
  </si>
  <si>
    <t xml:space="preserve">🖨️ Printable NABL A4 Report &amp; PDF Export</t>
  </si>
  <si>
    <t xml:space="preserve">Toggle NABL/Non-NABL, Letterhead ON/OFF, Method, AI Note, QR Code, Doctor Digital Sign</t>
  </si>
  <si>
    <t xml:space="preserve">💳 Smart Billing, Discount &amp; Cash Receipt</t>
  </si>
  <si>
    <t xml:space="preserve">Preset/Custom Discount %, UPI/Cash/CC Ledger Mode, Paid/Pending Toggle, Printable Receipt</t>
  </si>
  <si>
    <t xml:space="preserve">📲 Dual WhatsApp, SMS &amp; Email Dispatcher</t>
  </si>
  <si>
    <t xml:space="preserve">Send Report Link &amp; Bill to Patient OR Referring Doctor/CC via WhatsApp, SMS &amp; Email</t>
  </si>
  <si>
    <t xml:space="preserve">📱 Patient Self-Service QR Health Pass</t>
  </si>
  <si>
    <t xml:space="preserve">Smartphone QR Scan View, Visual Biomarker Bars, Hindi Voice Report Readout, PDF Download</t>
  </si>
  <si>
    <t xml:space="preserve">B2B / Outsource / Accounts</t>
  </si>
  <si>
    <t xml:space="preserve">🏥 B2B / Collection Center (CC) Prepaid Wallet</t>
  </si>
  <si>
    <t xml:space="preserve">Sub-Tab Inside Page</t>
  </si>
  <si>
    <t xml:space="preserve">Partner Credit Wallet Balance, Auto-Deduction on B2B Reg, +₹2000 Top-Up, Doctor Commission</t>
  </si>
  <si>
    <t xml:space="preserve">🌐 Outsource Reference Lab Margin Tracker</t>
  </si>
  <si>
    <t xml:space="preserve">Lal PathLabs / Thyrocare / Metropolis Dispatch Popup, AWB Tracking, B2C vs B2B Net Margin</t>
  </si>
  <si>
    <t xml:space="preserve">📚 Master Test Catalog, B2C/B2B Rates &amp; Packages</t>
  </si>
  <si>
    <t xml:space="preserve">Health Checkup Bundles, Live B2C MRP &amp; B2B Rate Editor, Custom Test Popup, CSV Export</t>
  </si>
  <si>
    <t xml:space="preserve">HR / Inventory / QC / Admin</t>
  </si>
  <si>
    <t xml:space="preserve">👥 Staff Salary, Attendance &amp; Daily Expense P&amp;L</t>
  </si>
  <si>
    <t xml:space="preserve">Present/Half-Day/Absent Toggle, ₹60/Pickup Rider Bonus, +₹500 Advance, Salary Slip, Expense P&amp;L</t>
  </si>
  <si>
    <t xml:space="preserve">📦 Reagent &amp; Vacutainer Auto-Stock + JSON Backup</t>
  </si>
  <si>
    <t xml:space="preserve">Auto-Deduct Tubes on Reg, Low Stock Alert, +25 Restock, Full JSON Data Backup &amp; Restore</t>
  </si>
  <si>
    <t xml:space="preserve">⚙️ AI Letterhead, Digital Sign &amp; Custom Columns</t>
  </si>
  <si>
    <t xml:space="preserve">No-Code Custom Column Builder, NABL Toggles, Draw/Auto Doctor Sign, Live Pad Preview</t>
  </si>
  <si>
    <r>
      <rPr>
        <sz val="10"/>
        <color rgb="FF0F172A"/>
        <rFont val="Calibri"/>
        <family val="0"/>
        <charset val="1"/>
      </rPr>
      <t xml:space="preserve">&lt;-- </t>
    </r>
    <r>
      <rPr>
        <sz val="10"/>
        <color rgb="FF0F172A"/>
        <rFont val="Noto Sans Devanagari"/>
        <family val="2"/>
      </rPr>
      <t xml:space="preserve">नया </t>
    </r>
    <r>
      <rPr>
        <sz val="10"/>
        <color rgb="FF0F172A"/>
        <rFont val="Calibri"/>
        <family val="0"/>
        <charset val="1"/>
      </rPr>
      <t xml:space="preserve">Sub-Feature </t>
    </r>
    <r>
      <rPr>
        <sz val="10"/>
        <color rgb="FF0F172A"/>
        <rFont val="Noto Sans Devanagari"/>
        <family val="2"/>
      </rPr>
      <t xml:space="preserve">जोड़ना हो तो यहाँ भरें</t>
    </r>
  </si>
  <si>
    <t xml:space="preserve">VISUAL SCREEN WIREFRAME BOARD — DRAG &amp; DROP OR EDIT CELLS TO DESIGN YOUR EXACT SCREEN</t>
  </si>
  <si>
    <r>
      <rPr>
        <b val="true"/>
        <sz val="10"/>
        <color rgb="FFCCFBF1"/>
        <rFont val="Noto Sans Devanagari"/>
        <family val="2"/>
      </rPr>
      <t xml:space="preserve">यह शीट आपके सॉफ्टवेयर की असली स्क्रीन जैसी दिखती है। आप किसी भी बॉक्स </t>
    </r>
    <r>
      <rPr>
        <b val="true"/>
        <sz val="10"/>
        <color rgb="FFCCFBF1"/>
        <rFont val="Calibri"/>
        <family val="0"/>
        <charset val="1"/>
      </rPr>
      <t xml:space="preserve">(Cell) </t>
    </r>
    <r>
      <rPr>
        <b val="true"/>
        <sz val="10"/>
        <color rgb="FFCCFBF1"/>
        <rFont val="Noto Sans Devanagari"/>
        <family val="2"/>
      </rPr>
      <t xml:space="preserve">को माउस से पकड़कर </t>
    </r>
    <r>
      <rPr>
        <b val="true"/>
        <sz val="10"/>
        <color rgb="FFCCFBF1"/>
        <rFont val="Calibri"/>
        <family val="0"/>
        <charset val="1"/>
      </rPr>
      <t xml:space="preserve">(Drag &amp; Drop) </t>
    </r>
    <r>
      <rPr>
        <b val="true"/>
        <sz val="10"/>
        <color rgb="FFCCFBF1"/>
        <rFont val="Noto Sans Devanagari"/>
        <family val="2"/>
      </rPr>
      <t xml:space="preserve">या </t>
    </r>
    <r>
      <rPr>
        <b val="true"/>
        <sz val="10"/>
        <color rgb="FFCCFBF1"/>
        <rFont val="Calibri"/>
        <family val="0"/>
        <charset val="1"/>
      </rPr>
      <t xml:space="preserve">Cut-Paste </t>
    </r>
    <r>
      <rPr>
        <b val="true"/>
        <sz val="10"/>
        <color rgb="FFCCFBF1"/>
        <rFont val="Noto Sans Devanagari"/>
        <family val="2"/>
      </rPr>
      <t xml:space="preserve">करके अपनी पसंद की जगह पर रख सकते हैं</t>
    </r>
    <r>
      <rPr>
        <b val="true"/>
        <sz val="10"/>
        <color rgb="FFCCFBF1"/>
        <rFont val="Calibri"/>
        <family val="0"/>
        <charset val="1"/>
      </rPr>
      <t xml:space="preserve">!</t>
    </r>
  </si>
  <si>
    <r>
      <rPr>
        <b val="true"/>
        <sz val="11"/>
        <color rgb="FFFFFFFF"/>
        <rFont val="Calibri"/>
        <family val="0"/>
        <charset val="1"/>
      </rPr>
      <t xml:space="preserve">ZONE 1: TOP HEADER BAR — MAIN TABS ORDER (</t>
    </r>
    <r>
      <rPr>
        <b val="true"/>
        <sz val="11"/>
        <color rgb="FFFFFFFF"/>
        <rFont val="Noto Sans Devanagari"/>
        <family val="2"/>
      </rPr>
      <t xml:space="preserve">इन्हें दाएं</t>
    </r>
    <r>
      <rPr>
        <b val="true"/>
        <sz val="11"/>
        <color rgb="FFFFFFFF"/>
        <rFont val="Calibri"/>
        <family val="0"/>
        <charset val="1"/>
      </rPr>
      <t xml:space="preserve">-</t>
    </r>
    <r>
      <rPr>
        <b val="true"/>
        <sz val="11"/>
        <color rgb="FFFFFFFF"/>
        <rFont val="Noto Sans Devanagari"/>
        <family val="2"/>
      </rPr>
      <t xml:space="preserve">बाएं </t>
    </r>
    <r>
      <rPr>
        <b val="true"/>
        <sz val="11"/>
        <color rgb="FFFFFFFF"/>
        <rFont val="Calibri"/>
        <family val="0"/>
        <charset val="1"/>
      </rPr>
      <t xml:space="preserve">Drag/Cut-Paste </t>
    </r>
    <r>
      <rPr>
        <b val="true"/>
        <sz val="11"/>
        <color rgb="FFFFFFFF"/>
        <rFont val="Noto Sans Devanagari"/>
        <family val="2"/>
      </rPr>
      <t xml:space="preserve">करें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</si>
  <si>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1. 📊 Dashboard</t>
  </si>
  <si>
    <t xml:space="preserve">2. 🔬 Lab Operations</t>
  </si>
  <si>
    <t xml:space="preserve">3. 💼 Business &amp; B2B</t>
  </si>
  <si>
    <t xml:space="preserve">4. 🛡️ Quality Control</t>
  </si>
  <si>
    <t xml:space="preserve">5. 📦 Inventory</t>
  </si>
  <si>
    <t xml:space="preserve">6. 👥 HR &amp; Payroll</t>
  </si>
  <si>
    <t xml:space="preserve">7. ⚙️ Setup Drawer</t>
  </si>
  <si>
    <t xml:space="preserve">8. 🎙️ Zia AI Live</t>
  </si>
  <si>
    <r>
      <rPr>
        <b val="true"/>
        <sz val="11"/>
        <color rgb="FFFFFFFF"/>
        <rFont val="Calibri"/>
        <family val="0"/>
        <charset val="1"/>
      </rPr>
      <t xml:space="preserve">ZONE 2: TOP KPI METRICS STRIP (</t>
    </r>
    <r>
      <rPr>
        <b val="true"/>
        <sz val="11"/>
        <color rgb="FFFFFFFF"/>
        <rFont val="Noto Sans Devanagari"/>
        <family val="2"/>
      </rPr>
      <t xml:space="preserve">ऊपर दिखने वाले </t>
    </r>
    <r>
      <rPr>
        <b val="true"/>
        <sz val="11"/>
        <color rgb="FFFFFFFF"/>
        <rFont val="Calibri"/>
        <family val="0"/>
        <charset val="1"/>
      </rPr>
      <t xml:space="preserve">4 </t>
    </r>
    <r>
      <rPr>
        <b val="true"/>
        <sz val="11"/>
        <color rgb="FFFFFFFF"/>
        <rFont val="Noto Sans Devanagari"/>
        <family val="2"/>
      </rPr>
      <t xml:space="preserve">मुख्य बॉक्स — नाम बदलें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</si>
  <si>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KPI 1: Total Samples Today (Walk-in &amp; CC)</t>
  </si>
  <si>
    <t xml:space="preserve">KPI 2: Samples Pending (STAT Urgent Count)</t>
  </si>
  <si>
    <t xml:space="preserve">KPI 3: Reports Verified (NABL Signed)</t>
  </si>
  <si>
    <t xml:space="preserve">KPI 4: Today's Net Revenue (Paid vs Due)</t>
  </si>
  <si>
    <r>
      <rPr>
        <b val="true"/>
        <sz val="11"/>
        <color rgb="FFFFFFFF"/>
        <rFont val="Calibri"/>
        <family val="0"/>
        <charset val="1"/>
      </rPr>
      <t xml:space="preserve">ZONE 3A: FRONT MAIN WORKSPACE (</t>
    </r>
    <r>
      <rPr>
        <b val="true"/>
        <sz val="11"/>
        <color rgb="FFFFFFFF"/>
        <rFont val="Noto Sans Devanagari"/>
        <family val="2"/>
      </rPr>
      <t xml:space="preserve">मुख्य स्क्रीन पर क्या</t>
    </r>
    <r>
      <rPr>
        <b val="true"/>
        <sz val="11"/>
        <color rgb="FFFFFFFF"/>
        <rFont val="Calibri"/>
        <family val="0"/>
        <charset val="1"/>
      </rPr>
      <t xml:space="preserve">-</t>
    </r>
    <r>
      <rPr>
        <b val="true"/>
        <sz val="11"/>
        <color rgb="FFFFFFFF"/>
        <rFont val="Noto Sans Devanagari"/>
        <family val="2"/>
      </rPr>
      <t xml:space="preserve">क्या दिखेगा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</si>
  <si>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b val="true"/>
        <sz val="11"/>
        <color rgb="FFFFFFFF"/>
        <rFont val="Calibri"/>
        <family val="0"/>
        <charset val="1"/>
      </rPr>
      <t xml:space="preserve">ZONE 3B: SLIDE-OVER DRAWERS &amp; POPUPS (</t>
    </r>
    <r>
      <rPr>
        <b val="true"/>
        <sz val="11"/>
        <color rgb="FFFFFFFF"/>
        <rFont val="Noto Sans Devanagari"/>
        <family val="2"/>
      </rPr>
      <t xml:space="preserve">क्लिक करने पर साइड या पॉपअप में क्या खुलेगा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</si>
  <si>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Stage Filter Bar</t>
  </si>
  <si>
    <t xml:space="preserve">1. All Stages</t>
  </si>
  <si>
    <t xml:space="preserve">2. Pre-Analytical</t>
  </si>
  <si>
    <t xml:space="preserve">3. Analytical (In-Lab)</t>
  </si>
  <si>
    <t xml:space="preserve">4. Post-Analytical</t>
  </si>
  <si>
    <t xml:space="preserve">DRAWER 1 (Right Side)</t>
  </si>
  <si>
    <t xml:space="preserve">➕ New Patient Reg &amp; Billing Form</t>
  </si>
  <si>
    <t xml:space="preserve">Title-&gt;Gender, Tests, Package, B2B/CC Bill</t>
  </si>
  <si>
    <t xml:space="preserve">Quick Action Bar</t>
  </si>
  <si>
    <t xml:space="preserve">➕ Pt Reg Drawer</t>
  </si>
  <si>
    <t xml:space="preserve">🛵 Home Pickup Popup</t>
  </si>
  <si>
    <t xml:space="preserve">🌐 Outsource Popup</t>
  </si>
  <si>
    <t xml:space="preserve">🤖 Batch LIS Sync</t>
  </si>
  <si>
    <t xml:space="preserve">DRAWER 2 (Right Side)</t>
  </si>
  <si>
    <t xml:space="preserve">🔬 Test Result Entry &amp; Delta Check</t>
  </si>
  <si>
    <t xml:space="preserve">Machine LIS Sync, Normal Fill, Doctor Sign</t>
  </si>
  <si>
    <t xml:space="preserve">Worklist Column 1</t>
  </si>
  <si>
    <t xml:space="preserve">Barcode &amp; Time</t>
  </si>
  <si>
    <t xml:space="preserve">SMP-1001, Col/Rcv Time</t>
  </si>
  <si>
    <t xml:space="preserve">Collection Mode</t>
  </si>
  <si>
    <t xml:space="preserve">STAT Badge</t>
  </si>
  <si>
    <t xml:space="preserve">DRAWER 3 (Right Side)</t>
  </si>
  <si>
    <t xml:space="preserve">💳 Smart Billing &amp; WA/SMS/Email</t>
  </si>
  <si>
    <t xml:space="preserve">Discount %, Cash Receipt, Patient/Dr WA</t>
  </si>
  <si>
    <t xml:space="preserve">Worklist Column 2</t>
  </si>
  <si>
    <t xml:space="preserve">Patient &amp; Ref By</t>
  </si>
  <si>
    <t xml:space="preserve">Name, Age/Gender</t>
  </si>
  <si>
    <t xml:space="preserve">Mobile No.</t>
  </si>
  <si>
    <t xml:space="preserve">CC / Doctor Tag</t>
  </si>
  <si>
    <t xml:space="preserve">DRAWER 4 (Right Side)</t>
  </si>
  <si>
    <t xml:space="preserve">📱 Patient QR Health Pass Portal</t>
  </si>
  <si>
    <t xml:space="preserve">Biomarker Bars, Hindi Audio, PDF Download</t>
  </si>
  <si>
    <t xml:space="preserve">Worklist Column 3</t>
  </si>
  <si>
    <t xml:space="preserve">Tests &amp; Vial Tubes</t>
  </si>
  <si>
    <t xml:space="preserve">CBC, Lipid, LFT...</t>
  </si>
  <si>
    <t xml:space="preserve">Purple/Yellow/Grey Vial</t>
  </si>
  <si>
    <t xml:space="preserve">Custom Admin Col</t>
  </si>
  <si>
    <t xml:space="preserve">DRAWER 5 (Right Side)</t>
  </si>
  <si>
    <t xml:space="preserve">⚙️ Lab Setup &amp; Super Admin Studio</t>
  </si>
  <si>
    <t xml:space="preserve">AI Letterhead, Digital Sign, Custom Columns</t>
  </si>
  <si>
    <t xml:space="preserve">Worklist Column 4</t>
  </si>
  <si>
    <t xml:space="preserve">Billing &amp; Status</t>
  </si>
  <si>
    <t xml:space="preserve">Net Bill ₹ (B2C/B2B)</t>
  </si>
  <si>
    <t xml:space="preserve">Paid / Pending Toggle</t>
  </si>
  <si>
    <t xml:space="preserve">Pipeline Stage Badge</t>
  </si>
  <si>
    <t xml:space="preserve">POPUP 1 (Center Modal)</t>
  </si>
  <si>
    <t xml:space="preserve">🏷️ Barcode Sticker &amp; 🖨️ A4 Report</t>
  </si>
  <si>
    <t xml:space="preserve">Printable Vial Barcode &amp; NABL Report Pad</t>
  </si>
  <si>
    <t xml:space="preserve">Worklist Column 5</t>
  </si>
  <si>
    <t xml:space="preserve">Row Action Buttons</t>
  </si>
  <si>
    <t xml:space="preserve">[🔬 Results]</t>
  </si>
  <si>
    <t xml:space="preserve">[💳 Bill &amp; WA]</t>
  </si>
  <si>
    <t xml:space="preserve">[🖨️ Report] [📱 QR]</t>
  </si>
  <si>
    <t xml:space="preserve">POPUP 2 (Center Modal)</t>
  </si>
  <si>
    <t xml:space="preserve">🛵 Home Pickup &amp; 🌐 Outsource Lab</t>
  </si>
  <si>
    <t xml:space="preserve">Quick Booking Modals without leaving page</t>
  </si>
  <si>
    <r>
      <rPr>
        <b val="true"/>
        <sz val="11"/>
        <color rgb="FFFFFFFF"/>
        <rFont val="Calibri"/>
        <family val="0"/>
        <charset val="1"/>
      </rPr>
      <t xml:space="preserve">ZONE 4: YOUR CUSTOM SKETCH / NOTES AREA (</t>
    </r>
    <r>
      <rPr>
        <b val="true"/>
        <sz val="11"/>
        <color rgb="FFFFFFFF"/>
        <rFont val="Noto Sans Devanagari"/>
        <family val="2"/>
      </rPr>
      <t xml:space="preserve">यहाँ किसी भी सेल में अपने हिसाब से नया बॉक्स या फ्लो लिखें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</si>
  <si>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sz val="10"/>
        <color rgb="FF0F172A"/>
        <rFont val="Calibri"/>
        <family val="0"/>
        <charset val="1"/>
      </rPr>
      <t xml:space="preserve">[</t>
    </r>
    <r>
      <rPr>
        <sz val="10"/>
        <color rgb="FF0F172A"/>
        <rFont val="Noto Sans Devanagari"/>
        <family val="2"/>
      </rPr>
      <t xml:space="preserve">उदाहरण</t>
    </r>
    <r>
      <rPr>
        <sz val="10"/>
        <color rgb="FF0F172A"/>
        <rFont val="Calibri"/>
        <family val="0"/>
        <charset val="1"/>
      </rPr>
      <t xml:space="preserve">: </t>
    </r>
    <r>
      <rPr>
        <sz val="10"/>
        <color rgb="FF0F172A"/>
        <rFont val="Noto Sans Devanagari"/>
        <family val="2"/>
      </rPr>
      <t xml:space="preserve">यहाँ लिखें कौन सा नया बटन कहाँ चाहिए</t>
    </r>
    <r>
      <rPr>
        <sz val="10"/>
        <color rgb="FF0F172A"/>
        <rFont val="Calibri"/>
        <family val="0"/>
        <charset val="1"/>
      </rPr>
      <t xml:space="preserve">...]</t>
    </r>
  </si>
  <si>
    <r>
      <rPr>
        <b val="true"/>
        <sz val="15"/>
        <color rgb="FFFFFFFF"/>
        <rFont val="Calibri"/>
        <family val="0"/>
        <charset val="1"/>
      </rPr>
      <t xml:space="preserve">MASTER DROPDOWN LISTS (</t>
    </r>
    <r>
      <rPr>
        <b val="true"/>
        <sz val="15"/>
        <color rgb="FFFFFFFF"/>
        <rFont val="Noto Sans Devanagari"/>
        <family val="2"/>
      </rPr>
      <t xml:space="preserve">यह शीट </t>
    </r>
    <r>
      <rPr>
        <b val="true"/>
        <sz val="15"/>
        <color rgb="FFFFFFFF"/>
        <rFont val="Calibri"/>
        <family val="0"/>
        <charset val="1"/>
      </rPr>
      <t xml:space="preserve">Dropdown </t>
    </r>
    <r>
      <rPr>
        <b val="true"/>
        <sz val="15"/>
        <color rgb="FFFFFFFF"/>
        <rFont val="Noto Sans Devanagari"/>
        <family val="2"/>
      </rPr>
      <t xml:space="preserve">लिस्ट को कंट्रोल करती है — आप यहाँ नए ऑप्शन जोड़ सकते हैं</t>
    </r>
    <r>
      <rPr>
        <b val="true"/>
        <sz val="15"/>
        <color rgb="FFFFFFFF"/>
        <rFont val="Calibri"/>
        <family val="0"/>
        <charset val="1"/>
      </rPr>
      <t xml:space="preserve">)</t>
    </r>
  </si>
  <si>
    <t xml:space="preserve">Screen Positions</t>
  </si>
  <si>
    <t xml:space="preserve">UI Opening Types</t>
  </si>
  <si>
    <t xml:space="preserve">Decision / Action Status</t>
  </si>
  <si>
    <t xml:space="preserve">Clinical Workflow Stages</t>
  </si>
  <si>
    <t xml:space="preserve">User Roles</t>
  </si>
  <si>
    <r>
      <rPr>
        <sz val="10"/>
        <color rgb="FF0F172A"/>
        <rFont val="Calibri"/>
        <family val="0"/>
        <charset val="1"/>
      </rPr>
      <t xml:space="preserve">Keep / Required (</t>
    </r>
    <r>
      <rPr>
        <sz val="10"/>
        <color rgb="FF0F172A"/>
        <rFont val="Noto Sans Devanagari"/>
        <family val="2"/>
      </rPr>
      <t xml:space="preserve">रखना है</t>
    </r>
    <r>
      <rPr>
        <sz val="10"/>
        <color rgb="FF0F172A"/>
        <rFont val="Calibri"/>
        <family val="0"/>
        <charset val="1"/>
      </rPr>
      <t xml:space="preserve">)</t>
    </r>
  </si>
  <si>
    <t xml:space="preserve">Left Sidebar</t>
  </si>
  <si>
    <r>
      <rPr>
        <sz val="10"/>
        <color rgb="FF0F172A"/>
        <rFont val="Calibri"/>
        <family val="0"/>
        <charset val="1"/>
      </rPr>
      <t xml:space="preserve">Modify / Move (</t>
    </r>
    <r>
      <rPr>
        <sz val="10"/>
        <color rgb="FF0F172A"/>
        <rFont val="Noto Sans Devanagari"/>
        <family val="2"/>
      </rPr>
      <t xml:space="preserve">बदलना है</t>
    </r>
    <r>
      <rPr>
        <sz val="10"/>
        <color rgb="FF0F172A"/>
        <rFont val="Calibri"/>
        <family val="0"/>
        <charset val="1"/>
      </rPr>
      <t xml:space="preserve">)</t>
    </r>
  </si>
  <si>
    <t xml:space="preserve">Reception &amp; Billing</t>
  </si>
  <si>
    <r>
      <rPr>
        <sz val="10"/>
        <color rgb="FF0F172A"/>
        <rFont val="Calibri"/>
        <family val="0"/>
        <charset val="1"/>
      </rPr>
      <t xml:space="preserve">Remove / Hide (</t>
    </r>
    <r>
      <rPr>
        <sz val="10"/>
        <color rgb="FF0F172A"/>
        <rFont val="Noto Sans Devanagari"/>
        <family val="2"/>
      </rPr>
      <t xml:space="preserve">हटाना है</t>
    </r>
    <r>
      <rPr>
        <sz val="10"/>
        <color rgb="FF0F172A"/>
        <rFont val="Calibri"/>
        <family val="0"/>
        <charset val="1"/>
      </rPr>
      <t xml:space="preserve">)</t>
    </r>
  </si>
  <si>
    <t xml:space="preserve">Phlebotomist / Sample</t>
  </si>
  <si>
    <r>
      <rPr>
        <sz val="10"/>
        <color rgb="FF0F172A"/>
        <rFont val="Calibri"/>
        <family val="0"/>
        <charset val="1"/>
      </rPr>
      <t xml:space="preserve">New Feature (</t>
    </r>
    <r>
      <rPr>
        <sz val="10"/>
        <color rgb="FF0F172A"/>
        <rFont val="Noto Sans Devanagari"/>
        <family val="2"/>
      </rPr>
      <t xml:space="preserve">नया जोड़ना है</t>
    </r>
    <r>
      <rPr>
        <sz val="10"/>
        <color rgb="FF0F172A"/>
        <rFont val="Calibri"/>
        <family val="0"/>
        <charset val="1"/>
      </rPr>
      <t xml:space="preserve">)</t>
    </r>
  </si>
  <si>
    <t xml:space="preserve">Hidden</t>
  </si>
  <si>
    <t xml:space="preserve">Top Quick Button</t>
  </si>
  <si>
    <t xml:space="preserve">Pathologist / Doctor</t>
  </si>
  <si>
    <t xml:space="preserve">Bottom Floating Bar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</si>
</sst>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b val="true"/>
      <sz val="10"/>
      <color rgb="FFCCFBF1"/>
      <name val="Noto Sans Devanagari"/>
      <family val="2"/>
    </font>
    <font>
      <b val="true"/>
      <sz val="10"/>
      <color rgb="FFCCFBF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6"/>
      <color rgb="FF0D9488"/>
      <name val="Calibri"/>
      <family val="0"/>
      <charset val="1"/>
    </font>
    <font>
      <sz val="8"/>
      <color rgb="FF64748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Noto Sans Devanagari"/>
      <family val="2"/>
    </font>
    <font>
      <b val="true"/>
      <sz val="10"/>
      <color rgb="FFFFFFFF"/>
      <name val="Calibri"/>
      <family val="0"/>
      <charset val="1"/>
    </font>
    <font>
      <b val="true"/>
      <sz val="10"/>
      <color rgb="FFFFFFFF"/>
      <name val="Noto Sans Devanagari"/>
      <family val="2"/>
    </font>
    <font>
      <b val="true"/>
      <sz val="10"/>
      <color rgb="FF0F172A"/>
      <name val="Calibri"/>
      <family val="0"/>
      <charset val="1"/>
    </font>
    <font>
      <b val="true"/>
      <sz val="10"/>
      <color rgb="FF0F172A"/>
      <name val="Noto Sans Devanagari"/>
      <family val="2"/>
    </font>
    <font>
      <sz val="10"/>
      <color rgb="FF0F172A"/>
      <name val="Calibri"/>
      <family val="0"/>
      <charset val="1"/>
    </font>
    <font>
      <sz val="10"/>
      <color rgb="FF0F172A"/>
      <name val="Noto Sans Devanagari"/>
      <family val="2"/>
    </font>
    <font>
      <i val="true"/>
      <sz val="9"/>
      <color rgb="FF334155"/>
      <name val="Calibri"/>
      <family val="0"/>
      <charset val="1"/>
    </font>
    <font>
      <b val="true"/>
      <sz val="15"/>
      <color rgb="FFFFFFFF"/>
      <name val="Noto Sans Devanagari"/>
      <family val="2"/>
    </font>
  </fonts>
  <fills count="10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0D9488"/>
        <bgColor rgb="FF008080"/>
      </patternFill>
    </fill>
    <fill>
      <patternFill patternType="solid">
        <fgColor rgb="FF1E293B"/>
        <bgColor rgb="FF0F172A"/>
      </patternFill>
    </fill>
    <fill>
      <patternFill patternType="solid">
        <fgColor rgb="FFFFFFFF"/>
        <bgColor rgb="FFF8FAFC"/>
      </patternFill>
    </fill>
    <fill>
      <patternFill patternType="solid">
        <fgColor rgb="FFF1F5F9"/>
        <bgColor rgb="FFF8FAFC"/>
      </patternFill>
    </fill>
    <fill>
      <patternFill patternType="solid">
        <fgColor rgb="FFFEFCE8"/>
        <bgColor rgb="FFF8FAFC"/>
      </patternFill>
    </fill>
    <fill>
      <patternFill patternType="solid">
        <fgColor rgb="FFF0FDFA"/>
        <bgColor rgb="FFF8FAFC"/>
      </patternFill>
    </fill>
    <fill>
      <patternFill patternType="solid">
        <fgColor rgb="FFF8FAFC"/>
        <bgColor rgb="FFF0FD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medium">
        <color rgb="FF0D9488"/>
      </left>
      <right style="medium">
        <color rgb="FF0D9488"/>
      </right>
      <top style="medium">
        <color rgb="FF0D9488"/>
      </top>
      <bottom style="medium">
        <color rgb="FF0D94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1E7DD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  <dxf>
      <fill>
        <patternFill>
          <bgColor rgb="FFCFF4F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F1F5F9"/>
      <rgbColor rgb="FF808080"/>
      <rgbColor rgb="FF9999FF"/>
      <rgbColor rgb="FF993366"/>
      <rgbColor rgb="FFFFF3CD"/>
      <rgbColor rgb="FFCCFBF1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F4FC"/>
      <rgbColor rgb="FFD1E7DD"/>
      <rgbColor rgb="FFFEFCE8"/>
      <rgbColor rgb="FFF0FDFA"/>
      <rgbColor rgb="FFF8FAF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32"/>
    <col collapsed="false" customWidth="true" hidden="false" outlineLevel="0" max="5" min="5" style="0" width="26"/>
    <col collapsed="false" customWidth="true" hidden="false" outlineLevel="0" max="6" min="6" style="0" width="44"/>
    <col collapsed="false" customWidth="true" hidden="false" outlineLevel="0" max="7" min="7" style="0" width="26"/>
    <col collapsed="false" customWidth="true" hidden="false" outlineLevel="0" max="9" min="8" style="0" width="3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8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/>
    </row>
    <row r="5" customFormat="false" ht="25.5" hidden="false" customHeight="true" outlineLevel="0" collapsed="false">
      <c r="A5" s="4" t="n">
        <f aca="false">COUNTIF(F10:F19,"Keep / Required (रखना है)")</f>
        <v>8</v>
      </c>
      <c r="B5" s="4"/>
      <c r="C5" s="4" t="n">
        <f aca="false">COUNTA(C23:C46)</f>
        <v>19</v>
      </c>
      <c r="D5" s="4"/>
      <c r="E5" s="4" t="n">
        <f aca="false">COUNTIF(E23:E46,"Right Slide-Over Drawer")+COUNTIF(E23:E46,"Center Popup Modal")</f>
        <v>11</v>
      </c>
      <c r="F5" s="4"/>
      <c r="G5" s="4" t="n">
        <f aca="false">COUNTIF(G23:G46,"Modify / Move (बदलना है)")+COUNTIF(G23:G46,"New Feature (नया जोड़ना है)")</f>
        <v>0</v>
      </c>
      <c r="H5" s="4"/>
      <c r="I5" s="4"/>
    </row>
    <row r="6" customFormat="false" ht="15.75" hidden="false" customHeight="true" outlineLevel="0" collapsed="false">
      <c r="A6" s="5" t="s">
        <v>6</v>
      </c>
      <c r="B6" s="5"/>
      <c r="C6" s="5" t="s">
        <v>7</v>
      </c>
      <c r="D6" s="5"/>
      <c r="E6" s="5" t="s">
        <v>8</v>
      </c>
      <c r="F6" s="5"/>
      <c r="G6" s="5" t="s">
        <v>9</v>
      </c>
      <c r="H6" s="5"/>
      <c r="I6" s="5"/>
    </row>
    <row r="7" customFormat="false" ht="12" hidden="false" customHeight="true" outlineLevel="0" collapsed="false"/>
    <row r="8" customFormat="false" ht="24" hidden="false" customHeight="true" outlineLevel="0" collapsed="false">
      <c r="A8" s="6" t="s">
        <v>10</v>
      </c>
      <c r="B8" s="6"/>
      <c r="C8" s="6"/>
      <c r="D8" s="6"/>
      <c r="E8" s="6"/>
      <c r="F8" s="6"/>
      <c r="G8" s="6"/>
      <c r="H8" s="6"/>
      <c r="I8" s="6"/>
    </row>
    <row r="9" customFormat="false" ht="24" hidden="false" customHeight="true" outlineLevel="0" collapsed="false">
      <c r="A9" s="7" t="s">
        <v>11</v>
      </c>
      <c r="B9" s="7" t="s">
        <v>12</v>
      </c>
      <c r="C9" s="8" t="s">
        <v>13</v>
      </c>
      <c r="D9" s="7" t="s">
        <v>14</v>
      </c>
      <c r="E9" s="7" t="s">
        <v>15</v>
      </c>
      <c r="F9" s="7" t="s">
        <v>16</v>
      </c>
      <c r="G9" s="8" t="s">
        <v>17</v>
      </c>
      <c r="H9" s="8" t="s">
        <v>18</v>
      </c>
      <c r="I9" s="8" t="s">
        <v>19</v>
      </c>
    </row>
    <row r="10" customFormat="false" ht="21.75" hidden="false" customHeight="true" outlineLevel="0" collapsed="false">
      <c r="A10" s="9" t="n">
        <v>1</v>
      </c>
      <c r="B10" s="10" t="s">
        <v>20</v>
      </c>
      <c r="C10" s="11" t="s">
        <v>21</v>
      </c>
      <c r="D10" s="12" t="s">
        <v>22</v>
      </c>
      <c r="E10" s="12" t="s">
        <v>23</v>
      </c>
      <c r="F10" s="12" t="s">
        <v>24</v>
      </c>
      <c r="G10" s="13" t="s">
        <v>25</v>
      </c>
      <c r="H10" s="14" t="s">
        <v>26</v>
      </c>
      <c r="I10" s="15" t="str">
        <f aca="false">IF(C10="","",C10&amp;" ["&amp;D10&amp;" | "&amp;F10&amp;"]")</f>
        <v>📊 Dashboard (Executive &amp; Sales) [Top Header Bar | Keep / Required (रखना है)]</v>
      </c>
    </row>
    <row r="11" customFormat="false" ht="21.75" hidden="false" customHeight="true" outlineLevel="0" collapsed="false">
      <c r="A11" s="9" t="n">
        <v>2</v>
      </c>
      <c r="B11" s="10" t="s">
        <v>27</v>
      </c>
      <c r="C11" s="11" t="s">
        <v>28</v>
      </c>
      <c r="D11" s="12" t="s">
        <v>22</v>
      </c>
      <c r="E11" s="12" t="s">
        <v>23</v>
      </c>
      <c r="F11" s="12" t="s">
        <v>24</v>
      </c>
      <c r="G11" s="13" t="s">
        <v>29</v>
      </c>
      <c r="H11" s="14" t="s">
        <v>30</v>
      </c>
      <c r="I11" s="15" t="str">
        <f aca="false">IF(C11="","",C11&amp;" ["&amp;D11&amp;" | "&amp;F11&amp;"]")</f>
        <v>🔬 Lab Operations (Worklist Step 1–5) [Top Header Bar | Keep / Required (रखना है)]</v>
      </c>
    </row>
    <row r="12" customFormat="false" ht="21.75" hidden="false" customHeight="true" outlineLevel="0" collapsed="false">
      <c r="A12" s="9" t="n">
        <v>3</v>
      </c>
      <c r="B12" s="10" t="s">
        <v>31</v>
      </c>
      <c r="C12" s="11" t="s">
        <v>32</v>
      </c>
      <c r="D12" s="12" t="s">
        <v>22</v>
      </c>
      <c r="E12" s="12" t="s">
        <v>33</v>
      </c>
      <c r="F12" s="12" t="s">
        <v>24</v>
      </c>
      <c r="G12" s="13" t="s">
        <v>34</v>
      </c>
      <c r="H12" s="14" t="s">
        <v>35</v>
      </c>
      <c r="I12" s="15" t="str">
        <f aca="false">IF(C12="","",C12&amp;" ["&amp;D12&amp;" | "&amp;F12&amp;"]")</f>
        <v>💼 Business &amp; B2B/B2C Sales [Top Header Bar | Keep / Required (रखना है)]</v>
      </c>
    </row>
    <row r="13" customFormat="false" ht="21.75" hidden="false" customHeight="true" outlineLevel="0" collapsed="false">
      <c r="A13" s="9" t="n">
        <v>4</v>
      </c>
      <c r="B13" s="10" t="s">
        <v>36</v>
      </c>
      <c r="C13" s="11" t="s">
        <v>37</v>
      </c>
      <c r="D13" s="12" t="s">
        <v>22</v>
      </c>
      <c r="E13" s="12" t="s">
        <v>38</v>
      </c>
      <c r="F13" s="12" t="s">
        <v>24</v>
      </c>
      <c r="G13" s="13" t="s">
        <v>39</v>
      </c>
      <c r="H13" s="14" t="s">
        <v>40</v>
      </c>
      <c r="I13" s="15" t="str">
        <f aca="false">IF(C13="","",C13&amp;" ["&amp;D13&amp;" | "&amp;F13&amp;"]")</f>
        <v>🛡️ Quality Control (NABL QC &amp; LIS) [Top Header Bar | Keep / Required (रखना है)]</v>
      </c>
    </row>
    <row r="14" customFormat="false" ht="21.75" hidden="false" customHeight="true" outlineLevel="0" collapsed="false">
      <c r="A14" s="9" t="n">
        <v>5</v>
      </c>
      <c r="B14" s="10" t="s">
        <v>41</v>
      </c>
      <c r="C14" s="11" t="s">
        <v>42</v>
      </c>
      <c r="D14" s="12" t="s">
        <v>22</v>
      </c>
      <c r="E14" s="12" t="s">
        <v>38</v>
      </c>
      <c r="F14" s="12" t="s">
        <v>24</v>
      </c>
      <c r="G14" s="13" t="s">
        <v>43</v>
      </c>
      <c r="H14" s="14" t="s">
        <v>44</v>
      </c>
      <c r="I14" s="15" t="str">
        <f aca="false">IF(C14="","",C14&amp;" ["&amp;D14&amp;" | "&amp;F14&amp;"]")</f>
        <v>📦 Inventory &amp; Home Pickup [Top Header Bar | Keep / Required (रखना है)]</v>
      </c>
    </row>
    <row r="15" customFormat="false" ht="21.75" hidden="false" customHeight="true" outlineLevel="0" collapsed="false">
      <c r="A15" s="9" t="n">
        <v>6</v>
      </c>
      <c r="B15" s="10" t="s">
        <v>45</v>
      </c>
      <c r="C15" s="11" t="s">
        <v>46</v>
      </c>
      <c r="D15" s="12" t="s">
        <v>22</v>
      </c>
      <c r="E15" s="12" t="s">
        <v>33</v>
      </c>
      <c r="F15" s="12" t="s">
        <v>24</v>
      </c>
      <c r="G15" s="13" t="s">
        <v>47</v>
      </c>
      <c r="H15" s="14" t="s">
        <v>48</v>
      </c>
      <c r="I15" s="15" t="str">
        <f aca="false">IF(C15="","",C15&amp;" ["&amp;D15&amp;" | "&amp;F15&amp;"]")</f>
        <v>👥 HR, Staff Salary &amp; Expense P&amp;L [Top Header Bar | Keep / Required (रखना है)]</v>
      </c>
    </row>
    <row r="16" customFormat="false" ht="21.75" hidden="false" customHeight="true" outlineLevel="0" collapsed="false">
      <c r="A16" s="9" t="n">
        <v>7</v>
      </c>
      <c r="B16" s="10" t="s">
        <v>49</v>
      </c>
      <c r="C16" s="11" t="s">
        <v>50</v>
      </c>
      <c r="D16" s="12" t="s">
        <v>51</v>
      </c>
      <c r="E16" s="12" t="s">
        <v>33</v>
      </c>
      <c r="F16" s="12" t="s">
        <v>24</v>
      </c>
      <c r="G16" s="13" t="s">
        <v>52</v>
      </c>
      <c r="H16" s="14" t="s">
        <v>53</v>
      </c>
      <c r="I16" s="15" t="str">
        <f aca="false">IF(C16="","",C16&amp;" ["&amp;D16&amp;" | "&amp;F16&amp;"]")</f>
        <v>⚙️ Lab Setup &amp; Super Admin [Top Quick Action Button | Keep / Required (रखना है)]</v>
      </c>
    </row>
    <row r="17" customFormat="false" ht="21.75" hidden="false" customHeight="true" outlineLevel="0" collapsed="false">
      <c r="A17" s="9" t="n">
        <v>8</v>
      </c>
      <c r="B17" s="10" t="s">
        <v>54</v>
      </c>
      <c r="C17" s="11" t="s">
        <v>55</v>
      </c>
      <c r="D17" s="12" t="s">
        <v>56</v>
      </c>
      <c r="E17" s="12" t="s">
        <v>23</v>
      </c>
      <c r="F17" s="12" t="s">
        <v>24</v>
      </c>
      <c r="G17" s="13" t="s">
        <v>57</v>
      </c>
      <c r="H17" s="14" t="s">
        <v>58</v>
      </c>
      <c r="I17" s="15" t="str">
        <f aca="false">IF(C17="","",C17&amp;" ["&amp;D17&amp;" | "&amp;F17&amp;"]")</f>
        <v>🎙️ Hey Zia Live Voice AI [Floating Bottom-Right | Keep / Required (रखना है)]</v>
      </c>
    </row>
    <row r="18" customFormat="false" ht="21.75" hidden="false" customHeight="true" outlineLevel="0" collapsed="false">
      <c r="A18" s="9" t="n">
        <v>9</v>
      </c>
      <c r="B18" s="10" t="s">
        <v>59</v>
      </c>
      <c r="C18" s="11"/>
      <c r="D18" s="12" t="s">
        <v>22</v>
      </c>
      <c r="E18" s="12" t="s">
        <v>23</v>
      </c>
      <c r="F18" s="12"/>
      <c r="G18" s="13"/>
      <c r="H18" s="16" t="s">
        <v>60</v>
      </c>
      <c r="I18" s="15" t="str">
        <f aca="false">IF(C18="","",C18&amp;" ["&amp;D18&amp;" | "&amp;F18&amp;"]")</f>
        <v/>
      </c>
    </row>
    <row r="19" customFormat="false" ht="21.75" hidden="false" customHeight="true" outlineLevel="0" collapsed="false">
      <c r="A19" s="9" t="n">
        <v>10</v>
      </c>
      <c r="B19" s="10" t="s">
        <v>61</v>
      </c>
      <c r="C19" s="11"/>
      <c r="D19" s="12" t="s">
        <v>22</v>
      </c>
      <c r="E19" s="12" t="s">
        <v>23</v>
      </c>
      <c r="F19" s="12"/>
      <c r="G19" s="13"/>
      <c r="H19" s="16" t="s">
        <v>60</v>
      </c>
      <c r="I19" s="15" t="str">
        <f aca="false">IF(C19="","",C19&amp;" ["&amp;D19&amp;" | "&amp;F19&amp;"]")</f>
        <v/>
      </c>
    </row>
    <row r="20" customFormat="false" ht="12" hidden="false" customHeight="true" outlineLevel="0" collapsed="false"/>
    <row r="21" customFormat="false" ht="12" hidden="false" customHeight="true" outlineLevel="0" collapsed="false"/>
    <row r="22" customFormat="false" ht="24" hidden="false" customHeight="true" outlineLevel="0" collapsed="false">
      <c r="A22" s="6" t="s">
        <v>62</v>
      </c>
      <c r="B22" s="6"/>
      <c r="C22" s="6"/>
      <c r="D22" s="6"/>
      <c r="E22" s="6"/>
      <c r="F22" s="6"/>
      <c r="G22" s="6"/>
      <c r="H22" s="6"/>
      <c r="I22" s="6"/>
    </row>
    <row r="23" customFormat="false" ht="24" hidden="false" customHeight="true" outlineLevel="0" collapsed="false">
      <c r="A23" s="7" t="s">
        <v>63</v>
      </c>
      <c r="B23" s="7" t="s">
        <v>64</v>
      </c>
      <c r="C23" s="8" t="s">
        <v>65</v>
      </c>
      <c r="D23" s="7" t="s">
        <v>66</v>
      </c>
      <c r="E23" s="7" t="s">
        <v>67</v>
      </c>
      <c r="F23" s="8" t="s">
        <v>68</v>
      </c>
      <c r="G23" s="7" t="s">
        <v>16</v>
      </c>
      <c r="H23" s="8" t="s">
        <v>69</v>
      </c>
      <c r="I23" s="8" t="s">
        <v>70</v>
      </c>
    </row>
    <row r="24" customFormat="false" ht="24.75" hidden="false" customHeight="true" outlineLevel="0" collapsed="false">
      <c r="A24" s="9" t="n">
        <v>1</v>
      </c>
      <c r="B24" s="17" t="s">
        <v>71</v>
      </c>
      <c r="C24" s="18" t="s">
        <v>72</v>
      </c>
      <c r="D24" s="12" t="s">
        <v>28</v>
      </c>
      <c r="E24" s="17" t="s">
        <v>73</v>
      </c>
      <c r="F24" s="19" t="s">
        <v>74</v>
      </c>
      <c r="G24" s="12" t="s">
        <v>24</v>
      </c>
      <c r="H24" s="16"/>
      <c r="I24" s="15" t="str">
        <f aca="false">IF(C24="","",D24&amp;" ➔ "&amp;C24&amp;" ["&amp;E24&amp;"]")</f>
        <v>🔬 Lab Operations (Worklist Step 1–5) ➔ ➕ New Patient Registration &amp; B2C/B2B Billing [Right Slide-Over Drawer]</v>
      </c>
    </row>
    <row r="25" customFormat="false" ht="24.75" hidden="false" customHeight="true" outlineLevel="0" collapsed="false">
      <c r="A25" s="9" t="n">
        <v>2</v>
      </c>
      <c r="B25" s="17" t="s">
        <v>71</v>
      </c>
      <c r="C25" s="20" t="s">
        <v>75</v>
      </c>
      <c r="D25" s="12" t="s">
        <v>28</v>
      </c>
      <c r="E25" s="17" t="s">
        <v>76</v>
      </c>
      <c r="F25" s="21" t="s">
        <v>77</v>
      </c>
      <c r="G25" s="12" t="s">
        <v>24</v>
      </c>
      <c r="H25" s="16"/>
      <c r="I25" s="15" t="str">
        <f aca="false">IF(C25="","",D25&amp;" ➔ "&amp;C25&amp;" ["&amp;E25&amp;"]")</f>
        <v>🔬 Lab Operations (Worklist Step 1–5) ➔ 🏷️ Sample Barcode Sticker &amp; Tube List [Center Popup Modal]</v>
      </c>
    </row>
    <row r="26" customFormat="false" ht="24.75" hidden="false" customHeight="true" outlineLevel="0" collapsed="false">
      <c r="A26" s="9" t="n">
        <v>3</v>
      </c>
      <c r="B26" s="17" t="s">
        <v>71</v>
      </c>
      <c r="C26" s="18" t="s">
        <v>78</v>
      </c>
      <c r="D26" s="12" t="s">
        <v>42</v>
      </c>
      <c r="E26" s="17" t="s">
        <v>76</v>
      </c>
      <c r="F26" s="19" t="s">
        <v>79</v>
      </c>
      <c r="G26" s="12" t="s">
        <v>24</v>
      </c>
      <c r="H26" s="16"/>
      <c r="I26" s="15" t="str">
        <f aca="false">IF(C26="","",D26&amp;" ➔ "&amp;C26&amp;" ["&amp;E26&amp;"]")</f>
        <v>📦 Inventory &amp; Home Pickup ➔ 🛵 Home Sample Pickup &amp; Rider Dispatch [Center Popup Modal]</v>
      </c>
    </row>
    <row r="27" customFormat="false" ht="24.75" hidden="false" customHeight="true" outlineLevel="0" collapsed="false">
      <c r="A27" s="9" t="n">
        <v>4</v>
      </c>
      <c r="B27" s="17" t="s">
        <v>80</v>
      </c>
      <c r="C27" s="20" t="s">
        <v>81</v>
      </c>
      <c r="D27" s="12" t="s">
        <v>28</v>
      </c>
      <c r="E27" s="17" t="s">
        <v>82</v>
      </c>
      <c r="F27" s="21" t="s">
        <v>83</v>
      </c>
      <c r="G27" s="12" t="s">
        <v>24</v>
      </c>
      <c r="H27" s="16"/>
      <c r="I27" s="15" t="str">
        <f aca="false">IF(C27="","",D27&amp;" ➔ "&amp;C27&amp;" ["&amp;E27&amp;"]")</f>
        <v>🔬 Lab Operations (Worklist Step 1–5) ➔ 📋 3-Stage Pipeline Worklist (Pre / Lab / Post) [Front Main Table / Card]</v>
      </c>
    </row>
    <row r="28" customFormat="false" ht="24.75" hidden="false" customHeight="true" outlineLevel="0" collapsed="false">
      <c r="A28" s="9" t="n">
        <v>5</v>
      </c>
      <c r="B28" s="17" t="s">
        <v>80</v>
      </c>
      <c r="C28" s="18" t="s">
        <v>84</v>
      </c>
      <c r="D28" s="12" t="s">
        <v>28</v>
      </c>
      <c r="E28" s="17" t="s">
        <v>73</v>
      </c>
      <c r="F28" s="19" t="s">
        <v>85</v>
      </c>
      <c r="G28" s="12" t="s">
        <v>24</v>
      </c>
      <c r="H28" s="16"/>
      <c r="I28" s="15" t="str">
        <f aca="false">IF(C28="","",D28&amp;" ➔ "&amp;C28&amp;" ["&amp;E28&amp;"]")</f>
        <v>🔬 Lab Operations (Worklist Step 1–5) ➔ ⚠️ Sample Rejection &amp; Re-Collection Alert [Right Slide-Over Drawer]</v>
      </c>
    </row>
    <row r="29" customFormat="false" ht="24.75" hidden="false" customHeight="true" outlineLevel="0" collapsed="false">
      <c r="A29" s="9" t="n">
        <v>6</v>
      </c>
      <c r="B29" s="17" t="s">
        <v>86</v>
      </c>
      <c r="C29" s="20" t="s">
        <v>87</v>
      </c>
      <c r="D29" s="12" t="s">
        <v>37</v>
      </c>
      <c r="E29" s="17" t="s">
        <v>82</v>
      </c>
      <c r="F29" s="21" t="s">
        <v>88</v>
      </c>
      <c r="G29" s="12" t="s">
        <v>24</v>
      </c>
      <c r="H29" s="16"/>
      <c r="I29" s="15" t="str">
        <f aca="false">IF(C29="","",D29&amp;" ➔ "&amp;C29&amp;" ["&amp;E29&amp;"]")</f>
        <v>🛡️ Quality Control (NABL QC &amp; LIS) ➔ 🤖 Automated Analyzer LIS Sync (HL7 / ASTM) [Front Main Table / Card]</v>
      </c>
    </row>
    <row r="30" customFormat="false" ht="24.75" hidden="false" customHeight="true" outlineLevel="0" collapsed="false">
      <c r="A30" s="9" t="n">
        <v>7</v>
      </c>
      <c r="B30" s="17" t="s">
        <v>86</v>
      </c>
      <c r="C30" s="18" t="s">
        <v>89</v>
      </c>
      <c r="D30" s="12" t="s">
        <v>28</v>
      </c>
      <c r="E30" s="17" t="s">
        <v>73</v>
      </c>
      <c r="F30" s="19" t="s">
        <v>90</v>
      </c>
      <c r="G30" s="12" t="s">
        <v>24</v>
      </c>
      <c r="H30" s="16"/>
      <c r="I30" s="15" t="str">
        <f aca="false">IF(C30="","",D30&amp;" ➔ "&amp;C30&amp;" ["&amp;E30&amp;"]")</f>
        <v>🔬 Lab Operations (Worklist Step 1–5) ➔ 🔬 Test Result Entry &amp; Auto-Formula (LDL) [Right Slide-Over Drawer]</v>
      </c>
    </row>
    <row r="31" customFormat="false" ht="24.75" hidden="false" customHeight="true" outlineLevel="0" collapsed="false">
      <c r="A31" s="9" t="n">
        <v>8</v>
      </c>
      <c r="B31" s="17" t="s">
        <v>86</v>
      </c>
      <c r="C31" s="20" t="s">
        <v>91</v>
      </c>
      <c r="D31" s="12" t="s">
        <v>28</v>
      </c>
      <c r="E31" s="17" t="s">
        <v>73</v>
      </c>
      <c r="F31" s="21" t="s">
        <v>92</v>
      </c>
      <c r="G31" s="12" t="s">
        <v>24</v>
      </c>
      <c r="H31" s="16"/>
      <c r="I31" s="15" t="str">
        <f aca="false">IF(C31="","",D31&amp;" ➔ "&amp;C31&amp;" ["&amp;E31&amp;"]")</f>
        <v>🔬 Lab Operations (Worklist Step 1–5) ➔ 📈 NABL Delta Check (Past Visit vs Today) [Right Slide-Over Drawer]</v>
      </c>
    </row>
    <row r="32" customFormat="false" ht="24.75" hidden="false" customHeight="true" outlineLevel="0" collapsed="false">
      <c r="A32" s="9" t="n">
        <v>9</v>
      </c>
      <c r="B32" s="17" t="s">
        <v>93</v>
      </c>
      <c r="C32" s="18" t="s">
        <v>94</v>
      </c>
      <c r="D32" s="12" t="s">
        <v>28</v>
      </c>
      <c r="E32" s="17" t="s">
        <v>76</v>
      </c>
      <c r="F32" s="19" t="s">
        <v>95</v>
      </c>
      <c r="G32" s="12" t="s">
        <v>24</v>
      </c>
      <c r="H32" s="16"/>
      <c r="I32" s="15" t="str">
        <f aca="false">IF(C32="","",D32&amp;" ➔ "&amp;C32&amp;" ["&amp;E32&amp;"]")</f>
        <v>🔬 Lab Operations (Worklist Step 1–5) ➔ 🖨️ Printable NABL A4 Report &amp; PDF Export [Center Popup Modal]</v>
      </c>
    </row>
    <row r="33" customFormat="false" ht="24.75" hidden="false" customHeight="true" outlineLevel="0" collapsed="false">
      <c r="A33" s="9" t="n">
        <v>10</v>
      </c>
      <c r="B33" s="17" t="s">
        <v>93</v>
      </c>
      <c r="C33" s="20" t="s">
        <v>96</v>
      </c>
      <c r="D33" s="12" t="s">
        <v>32</v>
      </c>
      <c r="E33" s="17" t="s">
        <v>73</v>
      </c>
      <c r="F33" s="21" t="s">
        <v>97</v>
      </c>
      <c r="G33" s="12" t="s">
        <v>24</v>
      </c>
      <c r="H33" s="16"/>
      <c r="I33" s="15" t="str">
        <f aca="false">IF(C33="","",D33&amp;" ➔ "&amp;C33&amp;" ["&amp;E33&amp;"]")</f>
        <v>💼 Business &amp; B2B/B2C Sales ➔ 💳 Smart Billing, Discount &amp; Cash Receipt [Right Slide-Over Drawer]</v>
      </c>
    </row>
    <row r="34" customFormat="false" ht="24.75" hidden="false" customHeight="true" outlineLevel="0" collapsed="false">
      <c r="A34" s="9" t="n">
        <v>11</v>
      </c>
      <c r="B34" s="17" t="s">
        <v>93</v>
      </c>
      <c r="C34" s="18" t="s">
        <v>98</v>
      </c>
      <c r="D34" s="12" t="s">
        <v>32</v>
      </c>
      <c r="E34" s="17" t="s">
        <v>73</v>
      </c>
      <c r="F34" s="19" t="s">
        <v>99</v>
      </c>
      <c r="G34" s="12" t="s">
        <v>24</v>
      </c>
      <c r="H34" s="16"/>
      <c r="I34" s="15" t="str">
        <f aca="false">IF(C34="","",D34&amp;" ➔ "&amp;C34&amp;" ["&amp;E34&amp;"]")</f>
        <v>💼 Business &amp; B2B/B2C Sales ➔ 📲 Dual WhatsApp, SMS &amp; Email Dispatcher [Right Slide-Over Drawer]</v>
      </c>
    </row>
    <row r="35" customFormat="false" ht="24.75" hidden="false" customHeight="true" outlineLevel="0" collapsed="false">
      <c r="A35" s="9" t="n">
        <v>12</v>
      </c>
      <c r="B35" s="17" t="s">
        <v>93</v>
      </c>
      <c r="C35" s="20" t="s">
        <v>100</v>
      </c>
      <c r="D35" s="12" t="s">
        <v>32</v>
      </c>
      <c r="E35" s="17" t="s">
        <v>73</v>
      </c>
      <c r="F35" s="21" t="s">
        <v>101</v>
      </c>
      <c r="G35" s="12" t="s">
        <v>24</v>
      </c>
      <c r="H35" s="16"/>
      <c r="I35" s="15" t="str">
        <f aca="false">IF(C35="","",D35&amp;" ➔ "&amp;C35&amp;" ["&amp;E35&amp;"]")</f>
        <v>💼 Business &amp; B2B/B2C Sales ➔ 📱 Patient Self-Service QR Health Pass [Right Slide-Over Drawer]</v>
      </c>
    </row>
    <row r="36" customFormat="false" ht="24.75" hidden="false" customHeight="true" outlineLevel="0" collapsed="false">
      <c r="A36" s="9" t="n">
        <v>13</v>
      </c>
      <c r="B36" s="17" t="s">
        <v>102</v>
      </c>
      <c r="C36" s="18" t="s">
        <v>103</v>
      </c>
      <c r="D36" s="12" t="s">
        <v>32</v>
      </c>
      <c r="E36" s="17" t="s">
        <v>104</v>
      </c>
      <c r="F36" s="19" t="s">
        <v>105</v>
      </c>
      <c r="G36" s="12" t="s">
        <v>24</v>
      </c>
      <c r="H36" s="16"/>
      <c r="I36" s="15" t="str">
        <f aca="false">IF(C36="","",D36&amp;" ➔ "&amp;C36&amp;" ["&amp;E36&amp;"]")</f>
        <v>💼 Business &amp; B2B/B2C Sales ➔ 🏥 B2B / Collection Center (CC) Prepaid Wallet [Sub-Tab Inside Page]</v>
      </c>
    </row>
    <row r="37" customFormat="false" ht="24.75" hidden="false" customHeight="true" outlineLevel="0" collapsed="false">
      <c r="A37" s="9" t="n">
        <v>14</v>
      </c>
      <c r="B37" s="17" t="s">
        <v>102</v>
      </c>
      <c r="C37" s="20" t="s">
        <v>106</v>
      </c>
      <c r="D37" s="12" t="s">
        <v>32</v>
      </c>
      <c r="E37" s="17" t="s">
        <v>104</v>
      </c>
      <c r="F37" s="21" t="s">
        <v>107</v>
      </c>
      <c r="G37" s="12" t="s">
        <v>24</v>
      </c>
      <c r="H37" s="16"/>
      <c r="I37" s="15" t="str">
        <f aca="false">IF(C37="","",D37&amp;" ➔ "&amp;C37&amp;" ["&amp;E37&amp;"]")</f>
        <v>💼 Business &amp; B2B/B2C Sales ➔ 🌐 Outsource Reference Lab Margin Tracker [Sub-Tab Inside Page]</v>
      </c>
    </row>
    <row r="38" customFormat="false" ht="24.75" hidden="false" customHeight="true" outlineLevel="0" collapsed="false">
      <c r="A38" s="9" t="n">
        <v>15</v>
      </c>
      <c r="B38" s="17" t="s">
        <v>102</v>
      </c>
      <c r="C38" s="18" t="s">
        <v>108</v>
      </c>
      <c r="D38" s="12" t="s">
        <v>32</v>
      </c>
      <c r="E38" s="17" t="s">
        <v>104</v>
      </c>
      <c r="F38" s="19" t="s">
        <v>109</v>
      </c>
      <c r="G38" s="12" t="s">
        <v>24</v>
      </c>
      <c r="H38" s="16"/>
      <c r="I38" s="15" t="str">
        <f aca="false">IF(C38="","",D38&amp;" ➔ "&amp;C38&amp;" ["&amp;E38&amp;"]")</f>
        <v>💼 Business &amp; B2B/B2C Sales ➔ 📚 Master Test Catalog, B2C/B2B Rates &amp; Packages [Sub-Tab Inside Page]</v>
      </c>
    </row>
    <row r="39" customFormat="false" ht="24.75" hidden="false" customHeight="true" outlineLevel="0" collapsed="false">
      <c r="A39" s="9" t="n">
        <v>16</v>
      </c>
      <c r="B39" s="17" t="s">
        <v>110</v>
      </c>
      <c r="C39" s="20" t="s">
        <v>111</v>
      </c>
      <c r="D39" s="12" t="s">
        <v>46</v>
      </c>
      <c r="E39" s="17" t="s">
        <v>82</v>
      </c>
      <c r="F39" s="21" t="s">
        <v>112</v>
      </c>
      <c r="G39" s="12" t="s">
        <v>24</v>
      </c>
      <c r="H39" s="16"/>
      <c r="I39" s="15" t="str">
        <f aca="false">IF(C39="","",D39&amp;" ➔ "&amp;C39&amp;" ["&amp;E39&amp;"]")</f>
        <v>👥 HR, Staff Salary &amp; Expense P&amp;L ➔ 👥 Staff Salary, Attendance &amp; Daily Expense P&amp;L [Front Main Table / Card]</v>
      </c>
    </row>
    <row r="40" customFormat="false" ht="24.75" hidden="false" customHeight="true" outlineLevel="0" collapsed="false">
      <c r="A40" s="9" t="n">
        <v>17</v>
      </c>
      <c r="B40" s="17" t="s">
        <v>110</v>
      </c>
      <c r="C40" s="18" t="s">
        <v>113</v>
      </c>
      <c r="D40" s="12" t="s">
        <v>42</v>
      </c>
      <c r="E40" s="17" t="s">
        <v>82</v>
      </c>
      <c r="F40" s="19" t="s">
        <v>114</v>
      </c>
      <c r="G40" s="12" t="s">
        <v>24</v>
      </c>
      <c r="H40" s="16"/>
      <c r="I40" s="15" t="str">
        <f aca="false">IF(C40="","",D40&amp;" ➔ "&amp;C40&amp;" ["&amp;E40&amp;"]")</f>
        <v>📦 Inventory &amp; Home Pickup ➔ 📦 Reagent &amp; Vacutainer Auto-Stock + JSON Backup [Front Main Table / Card]</v>
      </c>
    </row>
    <row r="41" customFormat="false" ht="24.75" hidden="false" customHeight="true" outlineLevel="0" collapsed="false">
      <c r="A41" s="9" t="n">
        <v>18</v>
      </c>
      <c r="B41" s="17" t="s">
        <v>110</v>
      </c>
      <c r="C41" s="20" t="s">
        <v>115</v>
      </c>
      <c r="D41" s="12" t="s">
        <v>50</v>
      </c>
      <c r="E41" s="17" t="s">
        <v>73</v>
      </c>
      <c r="F41" s="21" t="s">
        <v>116</v>
      </c>
      <c r="G41" s="12" t="s">
        <v>24</v>
      </c>
      <c r="H41" s="16"/>
      <c r="I41" s="15" t="str">
        <f aca="false">IF(C41="","",D41&amp;" ➔ "&amp;C41&amp;" ["&amp;E41&amp;"]")</f>
        <v>⚙️ Lab Setup &amp; Super Admin ➔ ⚙️ AI Letterhead, Digital Sign &amp; Custom Columns [Right Slide-Over Drawer]</v>
      </c>
    </row>
    <row r="42" customFormat="false" ht="24.75" hidden="false" customHeight="true" outlineLevel="0" collapsed="false">
      <c r="A42" s="9" t="n">
        <v>19</v>
      </c>
      <c r="B42" s="17"/>
      <c r="C42" s="18"/>
      <c r="D42" s="12"/>
      <c r="E42" s="17"/>
      <c r="F42" s="19"/>
      <c r="G42" s="12"/>
      <c r="H42" s="16" t="s">
        <v>117</v>
      </c>
      <c r="I42" s="15" t="str">
        <f aca="false">IF(C42="","",D42&amp;" ➔ "&amp;C42&amp;" ["&amp;E42&amp;"]")</f>
        <v/>
      </c>
    </row>
    <row r="43" customFormat="false" ht="24.75" hidden="false" customHeight="true" outlineLevel="0" collapsed="false">
      <c r="A43" s="9" t="n">
        <v>20</v>
      </c>
      <c r="B43" s="17"/>
      <c r="C43" s="20"/>
      <c r="D43" s="12"/>
      <c r="E43" s="17"/>
      <c r="F43" s="21"/>
      <c r="G43" s="12"/>
      <c r="H43" s="16" t="s">
        <v>117</v>
      </c>
      <c r="I43" s="15" t="str">
        <f aca="false">IF(C43="","",D43&amp;" ➔ "&amp;C43&amp;" ["&amp;E43&amp;"]")</f>
        <v/>
      </c>
    </row>
    <row r="44" customFormat="false" ht="24.75" hidden="false" customHeight="true" outlineLevel="0" collapsed="false">
      <c r="A44" s="9" t="n">
        <v>21</v>
      </c>
      <c r="B44" s="17"/>
      <c r="C44" s="18"/>
      <c r="D44" s="12"/>
      <c r="E44" s="17"/>
      <c r="F44" s="19"/>
      <c r="G44" s="12"/>
      <c r="H44" s="16" t="s">
        <v>117</v>
      </c>
      <c r="I44" s="15" t="str">
        <f aca="false">IF(C44="","",D44&amp;" ➔ "&amp;C44&amp;" ["&amp;E44&amp;"]")</f>
        <v/>
      </c>
    </row>
    <row r="45" customFormat="false" ht="24.75" hidden="false" customHeight="true" outlineLevel="0" collapsed="false">
      <c r="A45" s="9" t="n">
        <v>22</v>
      </c>
      <c r="B45" s="17"/>
      <c r="C45" s="20"/>
      <c r="D45" s="12"/>
      <c r="E45" s="17"/>
      <c r="F45" s="21"/>
      <c r="G45" s="12"/>
      <c r="H45" s="16" t="s">
        <v>117</v>
      </c>
      <c r="I45" s="15" t="str">
        <f aca="false">IF(C45="","",D45&amp;" ➔ "&amp;C45&amp;" ["&amp;E45&amp;"]")</f>
        <v/>
      </c>
    </row>
    <row r="46" customFormat="false" ht="24.75" hidden="false" customHeight="true" outlineLevel="0" collapsed="false">
      <c r="A46" s="9" t="n">
        <v>23</v>
      </c>
      <c r="B46" s="17"/>
      <c r="C46" s="18"/>
      <c r="D46" s="12"/>
      <c r="E46" s="17"/>
      <c r="F46" s="19"/>
      <c r="G46" s="12"/>
      <c r="H46" s="16" t="s">
        <v>117</v>
      </c>
      <c r="I46" s="15" t="str">
        <f aca="false">IF(C46="","",D46&amp;" ➔ "&amp;C46&amp;" ["&amp;E46&amp;"]")</f>
        <v/>
      </c>
    </row>
    <row r="47" customFormat="false" ht="24.75" hidden="false" customHeight="true" outlineLevel="0" collapsed="false">
      <c r="A47" s="9" t="n">
        <v>24</v>
      </c>
      <c r="B47" s="17"/>
      <c r="C47" s="20"/>
      <c r="D47" s="12"/>
      <c r="E47" s="17"/>
      <c r="F47" s="21"/>
      <c r="G47" s="12"/>
      <c r="H47" s="16" t="s">
        <v>117</v>
      </c>
      <c r="I47" s="15" t="str">
        <f aca="false">IF(C47="","",D47&amp;" ➔ "&amp;C47&amp;" ["&amp;E47&amp;"]")</f>
        <v/>
      </c>
    </row>
  </sheetData>
  <mergeCells count="16">
    <mergeCell ref="A1:I1"/>
    <mergeCell ref="A2:I2"/>
    <mergeCell ref="A4:B4"/>
    <mergeCell ref="C4:D4"/>
    <mergeCell ref="E4:F4"/>
    <mergeCell ref="G4:I4"/>
    <mergeCell ref="A5:B5"/>
    <mergeCell ref="C5:D5"/>
    <mergeCell ref="E5:F5"/>
    <mergeCell ref="G5:I5"/>
    <mergeCell ref="A6:B6"/>
    <mergeCell ref="C6:D6"/>
    <mergeCell ref="E6:F6"/>
    <mergeCell ref="G6:I6"/>
    <mergeCell ref="A8:I8"/>
    <mergeCell ref="A22:I22"/>
  </mergeCells>
  <conditionalFormatting sqref="F10:F19">
    <cfRule type="cellIs" priority="2" operator="equal" aboveAverage="0" equalAverage="0" bottom="0" percent="0" rank="0" text="" dxfId="0">
      <formula>"Keep / Required (रखना है)"</formula>
    </cfRule>
    <cfRule type="cellIs" priority="3" operator="equal" aboveAverage="0" equalAverage="0" bottom="0" percent="0" rank="0" text="" dxfId="1">
      <formula>"Modify / Move (बदलना है)"</formula>
    </cfRule>
    <cfRule type="cellIs" priority="4" operator="equal" aboveAverage="0" equalAverage="0" bottom="0" percent="0" rank="0" text="" dxfId="2">
      <formula>"Remove / Hide (हटाना है)"</formula>
    </cfRule>
    <cfRule type="cellIs" priority="5" operator="equal" aboveAverage="0" equalAverage="0" bottom="0" percent="0" rank="0" text="" dxfId="3">
      <formula>"New Feature (नया जोड़ना है)"</formula>
    </cfRule>
  </conditionalFormatting>
  <conditionalFormatting sqref="G24:G47">
    <cfRule type="cellIs" priority="6" operator="equal" aboveAverage="0" equalAverage="0" bottom="0" percent="0" rank="0" text="" dxfId="0">
      <formula>"Keep / Required (रखना है)"</formula>
    </cfRule>
    <cfRule type="cellIs" priority="7" operator="equal" aboveAverage="0" equalAverage="0" bottom="0" percent="0" rank="0" text="" dxfId="1">
      <formula>"Modify / Move (बदलना है)"</formula>
    </cfRule>
    <cfRule type="cellIs" priority="8" operator="equal" aboveAverage="0" equalAverage="0" bottom="0" percent="0" rank="0" text="" dxfId="2">
      <formula>"Remove / Hide (हटाना है)"</formula>
    </cfRule>
    <cfRule type="cellIs" priority="9" operator="equal" aboveAverage="0" equalAverage="0" bottom="0" percent="0" rank="0" text="" dxfId="3">
      <formula>"New Feature (नया जोड़ना है)"</formula>
    </cfRule>
  </conditionalFormatting>
  <dataValidations count="6">
    <dataValidation allowBlank="true" errorStyle="stop" operator="between" showDropDown="false" showErrorMessage="false" showInputMessage="false" sqref="D10:D19" type="list">
      <formula1>3_Dropdown_Master_Lists!$A$3:$A$7</formula1>
      <formula2>0</formula2>
    </dataValidation>
    <dataValidation allowBlank="true" errorStyle="stop" operator="between" showDropDown="false" showErrorMessage="false" showInputMessage="false" sqref="E10:E19" type="list">
      <formula1>3_Dropdown_Master_Lists!$E$3:$E$8</formula1>
      <formula2>0</formula2>
    </dataValidation>
    <dataValidation allowBlank="true" errorStyle="stop" operator="between" showDropDown="false" showErrorMessage="false" showInputMessage="false" sqref="F10:F19 G24:G47" type="list">
      <formula1>3_Dropdown_Master_Lists!$C$3:$C$6</formula1>
      <formula2>0</formula2>
    </dataValidation>
    <dataValidation allowBlank="true" errorStyle="stop" operator="between" showDropDown="false" showErrorMessage="false" showInputMessage="false" sqref="B24:B47" type="list">
      <formula1>3_Dropdown_Master_Lists!$D$3:$D$8</formula1>
      <formula2>0</formula2>
    </dataValidation>
    <dataValidation allowBlank="true" errorStyle="stop" operator="between" showDropDown="false" showErrorMessage="false" showInputMessage="false" sqref="D24:D47" type="list">
      <formula1>$C$10:$C$19</formula1>
      <formula2>0</formula2>
    </dataValidation>
    <dataValidation allowBlank="true" errorStyle="stop" operator="between" showDropDown="false" showErrorMessage="false" showInputMessage="false" sqref="E24:E47" type="list">
      <formula1>3_Dropdown_Master_Lists!$B$3:$B$8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4"/>
  </cols>
  <sheetData>
    <row r="1" customFormat="false" ht="27.75" hidden="false" customHeight="true" outlineLevel="0" collapsed="false">
      <c r="A1" s="1" t="s">
        <v>118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119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22" t="s">
        <v>120</v>
      </c>
      <c r="B4" s="22"/>
      <c r="C4" s="22"/>
      <c r="D4" s="22"/>
      <c r="E4" s="22"/>
      <c r="F4" s="22"/>
      <c r="G4" s="22"/>
      <c r="H4" s="22"/>
    </row>
    <row r="5" customFormat="false" ht="27.75" hidden="false" customHeight="true" outlineLevel="0" collapsed="false">
      <c r="A5" s="23" t="s">
        <v>121</v>
      </c>
      <c r="B5" s="23" t="s">
        <v>122</v>
      </c>
      <c r="C5" s="23" t="s">
        <v>123</v>
      </c>
      <c r="D5" s="23" t="s">
        <v>124</v>
      </c>
      <c r="E5" s="23" t="s">
        <v>125</v>
      </c>
      <c r="F5" s="23" t="s">
        <v>126</v>
      </c>
      <c r="G5" s="23" t="s">
        <v>127</v>
      </c>
      <c r="H5" s="23" t="s">
        <v>128</v>
      </c>
    </row>
    <row r="7" customFormat="false" ht="19.5" hidden="false" customHeight="true" outlineLevel="0" collapsed="false">
      <c r="A7" s="22" t="s">
        <v>129</v>
      </c>
      <c r="B7" s="22"/>
      <c r="C7" s="22"/>
      <c r="D7" s="22"/>
      <c r="E7" s="22"/>
      <c r="F7" s="22"/>
      <c r="G7" s="22"/>
      <c r="H7" s="22"/>
    </row>
    <row r="8" customFormat="false" ht="25.5" hidden="false" customHeight="true" outlineLevel="0" collapsed="false">
      <c r="A8" s="24" t="s">
        <v>130</v>
      </c>
      <c r="B8" s="24"/>
      <c r="C8" s="24" t="s">
        <v>131</v>
      </c>
      <c r="D8" s="24"/>
      <c r="E8" s="24" t="s">
        <v>132</v>
      </c>
      <c r="F8" s="24"/>
      <c r="G8" s="24" t="s">
        <v>133</v>
      </c>
      <c r="H8" s="24"/>
    </row>
    <row r="10" customFormat="false" ht="21.75" hidden="false" customHeight="true" outlineLevel="0" collapsed="false">
      <c r="A10" s="25" t="s">
        <v>134</v>
      </c>
      <c r="B10" s="25"/>
      <c r="C10" s="25"/>
      <c r="D10" s="25"/>
      <c r="E10" s="25"/>
      <c r="F10" s="6" t="s">
        <v>135</v>
      </c>
      <c r="G10" s="6"/>
      <c r="H10" s="6"/>
    </row>
    <row r="11" customFormat="false" ht="25.5" hidden="false" customHeight="true" outlineLevel="0" collapsed="false">
      <c r="A11" s="10" t="s">
        <v>136</v>
      </c>
      <c r="B11" s="13" t="s">
        <v>137</v>
      </c>
      <c r="C11" s="13" t="s">
        <v>138</v>
      </c>
      <c r="D11" s="13" t="s">
        <v>139</v>
      </c>
      <c r="E11" s="13" t="s">
        <v>140</v>
      </c>
      <c r="F11" s="10" t="s">
        <v>141</v>
      </c>
      <c r="G11" s="16" t="s">
        <v>142</v>
      </c>
      <c r="H11" s="16" t="s">
        <v>143</v>
      </c>
    </row>
    <row r="12" customFormat="false" ht="25.5" hidden="false" customHeight="true" outlineLevel="0" collapsed="false">
      <c r="A12" s="10" t="s">
        <v>144</v>
      </c>
      <c r="B12" s="13" t="s">
        <v>145</v>
      </c>
      <c r="C12" s="13" t="s">
        <v>146</v>
      </c>
      <c r="D12" s="13" t="s">
        <v>147</v>
      </c>
      <c r="E12" s="13" t="s">
        <v>148</v>
      </c>
      <c r="F12" s="10" t="s">
        <v>149</v>
      </c>
      <c r="G12" s="16" t="s">
        <v>150</v>
      </c>
      <c r="H12" s="16" t="s">
        <v>151</v>
      </c>
    </row>
    <row r="13" customFormat="false" ht="25.5" hidden="false" customHeight="true" outlineLevel="0" collapsed="false">
      <c r="A13" s="10" t="s">
        <v>152</v>
      </c>
      <c r="B13" s="13" t="s">
        <v>153</v>
      </c>
      <c r="C13" s="13" t="s">
        <v>154</v>
      </c>
      <c r="D13" s="13" t="s">
        <v>155</v>
      </c>
      <c r="E13" s="13" t="s">
        <v>156</v>
      </c>
      <c r="F13" s="10" t="s">
        <v>157</v>
      </c>
      <c r="G13" s="16" t="s">
        <v>158</v>
      </c>
      <c r="H13" s="16" t="s">
        <v>159</v>
      </c>
    </row>
    <row r="14" customFormat="false" ht="25.5" hidden="false" customHeight="true" outlineLevel="0" collapsed="false">
      <c r="A14" s="10" t="s">
        <v>160</v>
      </c>
      <c r="B14" s="13" t="s">
        <v>161</v>
      </c>
      <c r="C14" s="13" t="s">
        <v>162</v>
      </c>
      <c r="D14" s="13" t="s">
        <v>163</v>
      </c>
      <c r="E14" s="13" t="s">
        <v>164</v>
      </c>
      <c r="F14" s="10" t="s">
        <v>165</v>
      </c>
      <c r="G14" s="16" t="s">
        <v>166</v>
      </c>
      <c r="H14" s="16" t="s">
        <v>167</v>
      </c>
    </row>
    <row r="15" customFormat="false" ht="25.5" hidden="false" customHeight="true" outlineLevel="0" collapsed="false">
      <c r="A15" s="10" t="s">
        <v>168</v>
      </c>
      <c r="B15" s="13" t="s">
        <v>169</v>
      </c>
      <c r="C15" s="13" t="s">
        <v>170</v>
      </c>
      <c r="D15" s="13" t="s">
        <v>171</v>
      </c>
      <c r="E15" s="13" t="s">
        <v>172</v>
      </c>
      <c r="F15" s="10" t="s">
        <v>173</v>
      </c>
      <c r="G15" s="16" t="s">
        <v>174</v>
      </c>
      <c r="H15" s="16" t="s">
        <v>175</v>
      </c>
    </row>
    <row r="16" customFormat="false" ht="25.5" hidden="false" customHeight="true" outlineLevel="0" collapsed="false">
      <c r="A16" s="10" t="s">
        <v>176</v>
      </c>
      <c r="B16" s="13" t="s">
        <v>177</v>
      </c>
      <c r="C16" s="13" t="s">
        <v>178</v>
      </c>
      <c r="D16" s="13" t="s">
        <v>179</v>
      </c>
      <c r="E16" s="13" t="s">
        <v>180</v>
      </c>
      <c r="F16" s="10" t="s">
        <v>181</v>
      </c>
      <c r="G16" s="16" t="s">
        <v>182</v>
      </c>
      <c r="H16" s="16" t="s">
        <v>183</v>
      </c>
    </row>
    <row r="17" customFormat="false" ht="25.5" hidden="false" customHeight="true" outlineLevel="0" collapsed="false">
      <c r="A17" s="10" t="s">
        <v>184</v>
      </c>
      <c r="B17" s="13" t="s">
        <v>185</v>
      </c>
      <c r="C17" s="13" t="s">
        <v>186</v>
      </c>
      <c r="D17" s="13" t="s">
        <v>187</v>
      </c>
      <c r="E17" s="13" t="s">
        <v>188</v>
      </c>
      <c r="F17" s="10" t="s">
        <v>189</v>
      </c>
      <c r="G17" s="16" t="s">
        <v>190</v>
      </c>
      <c r="H17" s="16" t="s">
        <v>191</v>
      </c>
    </row>
    <row r="24" customFormat="false" ht="21.75" hidden="false" customHeight="true" outlineLevel="0" collapsed="false">
      <c r="A24" s="6" t="s">
        <v>192</v>
      </c>
      <c r="B24" s="6"/>
      <c r="C24" s="6"/>
      <c r="D24" s="6"/>
      <c r="E24" s="6"/>
      <c r="F24" s="6"/>
      <c r="G24" s="6"/>
      <c r="H24" s="6"/>
    </row>
    <row r="25" customFormat="false" ht="24" hidden="false" customHeight="true" outlineLevel="0" collapsed="false">
      <c r="A25" s="26" t="s">
        <v>193</v>
      </c>
      <c r="B25" s="26"/>
      <c r="C25" s="26"/>
      <c r="D25" s="26"/>
      <c r="E25" s="26"/>
      <c r="F25" s="26"/>
      <c r="G25" s="26"/>
      <c r="H25" s="26"/>
    </row>
    <row r="26" customFormat="false" ht="24" hidden="false" customHeight="true" outlineLevel="0" collapsed="false">
      <c r="A26" s="26"/>
      <c r="B26" s="26"/>
      <c r="C26" s="26"/>
      <c r="D26" s="26"/>
      <c r="E26" s="26"/>
      <c r="F26" s="26"/>
      <c r="G26" s="26"/>
      <c r="H26" s="26"/>
    </row>
    <row r="27" customFormat="false" ht="24" hidden="false" customHeight="true" outlineLevel="0" collapsed="false">
      <c r="A27" s="26"/>
      <c r="B27" s="26"/>
      <c r="C27" s="26"/>
      <c r="D27" s="26"/>
      <c r="E27" s="26"/>
      <c r="F27" s="26"/>
      <c r="G27" s="26"/>
      <c r="H27" s="26"/>
    </row>
    <row r="28" customFormat="false" ht="24" hidden="false" customHeight="true" outlineLevel="0" collapsed="false">
      <c r="A28" s="26"/>
      <c r="B28" s="26"/>
      <c r="C28" s="26"/>
      <c r="D28" s="26"/>
      <c r="E28" s="26"/>
      <c r="F28" s="26"/>
      <c r="G28" s="26"/>
      <c r="H28" s="26"/>
    </row>
    <row r="29" customFormat="false" ht="24" hidden="false" customHeight="true" outlineLevel="0" collapsed="false">
      <c r="A29" s="26"/>
      <c r="B29" s="26"/>
      <c r="C29" s="26"/>
      <c r="D29" s="26"/>
      <c r="E29" s="26"/>
      <c r="F29" s="26"/>
      <c r="G29" s="26"/>
      <c r="H29" s="26"/>
    </row>
    <row r="30" customFormat="false" ht="24" hidden="false" customHeight="true" outlineLevel="0" collapsed="false">
      <c r="A30" s="26"/>
      <c r="B30" s="26"/>
      <c r="C30" s="26"/>
      <c r="D30" s="26"/>
      <c r="E30" s="26"/>
      <c r="F30" s="26"/>
      <c r="G30" s="26"/>
      <c r="H30" s="26"/>
    </row>
  </sheetData>
  <mergeCells count="11">
    <mergeCell ref="A1:H1"/>
    <mergeCell ref="A2:H2"/>
    <mergeCell ref="A4:H4"/>
    <mergeCell ref="A7:H7"/>
    <mergeCell ref="A8:B8"/>
    <mergeCell ref="C8:D8"/>
    <mergeCell ref="E8:F8"/>
    <mergeCell ref="G8:H8"/>
    <mergeCell ref="A10:E10"/>
    <mergeCell ref="F10:H10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30"/>
  </cols>
  <sheetData>
    <row r="1" customFormat="false" ht="25.5" hidden="false" customHeight="true" outlineLevel="0" collapsed="false">
      <c r="A1" s="1" t="s">
        <v>194</v>
      </c>
      <c r="B1" s="1"/>
      <c r="C1" s="1"/>
      <c r="D1" s="1"/>
      <c r="E1" s="1"/>
    </row>
    <row r="2" customFormat="false" ht="21.75" hidden="false" customHeight="true" outlineLevel="0" collapsed="false">
      <c r="A2" s="8" t="s">
        <v>195</v>
      </c>
      <c r="B2" s="8" t="s">
        <v>196</v>
      </c>
      <c r="C2" s="8" t="s">
        <v>197</v>
      </c>
      <c r="D2" s="8" t="s">
        <v>198</v>
      </c>
      <c r="E2" s="8" t="s">
        <v>199</v>
      </c>
    </row>
    <row r="3" customFormat="false" ht="19.5" hidden="false" customHeight="true" outlineLevel="0" collapsed="false">
      <c r="A3" s="27" t="s">
        <v>22</v>
      </c>
      <c r="B3" s="27" t="s">
        <v>82</v>
      </c>
      <c r="C3" s="27" t="s">
        <v>200</v>
      </c>
      <c r="D3" s="27" t="s">
        <v>71</v>
      </c>
      <c r="E3" s="27" t="s">
        <v>23</v>
      </c>
    </row>
    <row r="4" customFormat="false" ht="19.5" hidden="false" customHeight="true" outlineLevel="0" collapsed="false">
      <c r="A4" s="27" t="s">
        <v>201</v>
      </c>
      <c r="B4" s="27" t="s">
        <v>104</v>
      </c>
      <c r="C4" s="27" t="s">
        <v>202</v>
      </c>
      <c r="D4" s="27" t="s">
        <v>80</v>
      </c>
      <c r="E4" s="27" t="s">
        <v>203</v>
      </c>
    </row>
    <row r="5" customFormat="false" ht="19.5" hidden="false" customHeight="true" outlineLevel="0" collapsed="false">
      <c r="A5" s="27" t="s">
        <v>51</v>
      </c>
      <c r="B5" s="27" t="s">
        <v>73</v>
      </c>
      <c r="C5" s="27" t="s">
        <v>204</v>
      </c>
      <c r="D5" s="27" t="s">
        <v>86</v>
      </c>
      <c r="E5" s="27" t="s">
        <v>205</v>
      </c>
    </row>
    <row r="6" customFormat="false" ht="19.5" hidden="false" customHeight="true" outlineLevel="0" collapsed="false">
      <c r="A6" s="27" t="s">
        <v>56</v>
      </c>
      <c r="B6" s="27" t="s">
        <v>76</v>
      </c>
      <c r="C6" s="27" t="s">
        <v>206</v>
      </c>
      <c r="D6" s="27" t="s">
        <v>93</v>
      </c>
      <c r="E6" s="27" t="s">
        <v>38</v>
      </c>
    </row>
    <row r="7" customFormat="false" ht="19.5" hidden="false" customHeight="true" outlineLevel="0" collapsed="false">
      <c r="A7" s="27" t="s">
        <v>207</v>
      </c>
      <c r="B7" s="27" t="s">
        <v>208</v>
      </c>
      <c r="C7" s="27"/>
      <c r="D7" s="27" t="s">
        <v>102</v>
      </c>
      <c r="E7" s="27" t="s">
        <v>209</v>
      </c>
    </row>
    <row r="8" customFormat="false" ht="19.5" hidden="false" customHeight="true" outlineLevel="0" collapsed="false">
      <c r="A8" s="27"/>
      <c r="B8" s="27" t="s">
        <v>210</v>
      </c>
      <c r="C8" s="27"/>
      <c r="D8" s="27" t="s">
        <v>110</v>
      </c>
      <c r="E8" s="27" t="s">
        <v>33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2026-10-17T20:09:48Z</dcterms:created>
  <dc:creator>openpyxl</dc:creator>
  <dc:description/>
  <dc:language>en-US</dc:language>
  <cp:lastModifiedBy/>
  <dcterms:modified xsi:type="dcterms:W3CDTF">2026-10-17T20:09:48Z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
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0_Read_Me_First" sheetId="1" state="visible" r:id="rId1"/>
    <sheet xmlns:r="http://schemas.openxmlformats.org/officeDocument/2006/relationships" name="01_Navigation_Architecture" sheetId="2" state="visible" r:id="rId2"/>
    <sheet xmlns:r="http://schemas.openxmlformats.org/officeDocument/2006/relationships" name="02_Screen_Wireframe" sheetId="3" state="visible" r:id="rId3"/>
    <sheet xmlns:r="http://schemas.openxmlformats.org/officeDocument/2006/relationships" name="03_Master_Lists" sheetId="4" state="visible" r:id="rId4"/>
    <sheet xmlns:r="http://schemas.openxmlformats.org/officeDocument/2006/relationships" name="04_Refined_Tab_Architecture" sheetId="5" state="visible" r:id="rId5"/>
    <sheet xmlns:r="http://schemas.openxmlformats.org/officeDocument/2006/relationships" name="05_CRM_to_LIMS_Clickflows" sheetId="6" state="visible" r:id="rId6"/>
    <sheet xmlns:r="http://schemas.openxmlformats.org/officeDocument/2006/relationships" name="06_Clinical_Workflow" sheetId="7" state="visible" r:id="rId7"/>
    <sheet xmlns:r="http://schemas.openxmlformats.org/officeDocument/2006/relationships" name="07_Role_Permission_Matrix" sheetId="8" state="visible" r:id="rId8"/>
    <sheet xmlns:r="http://schemas.openxmlformats.org/officeDocument/2006/relationships" name="08_Facility_Accreditation_Config" sheetId="9" state="visible" r:id="rId9"/>
    <sheet xmlns:r="http://schemas.openxmlformats.org/officeDocument/2006/relationships" name="09_Core_Data_Entities" sheetId="10" state="visible" r:id="rId10"/>
    <sheet xmlns:r="http://schemas.openxmlformats.org/officeDocument/2006/relationships" name="10_MVP_Roadmap" sheetId="11" state="visible" r:id="rId11"/>
    <sheet xmlns:r="http://schemas.openxmlformats.org/officeDocument/2006/relationships" name="11_UX_Design_Standards" sheetId="12" state="visible" r:id="rId12"/>
    <sheet xmlns:r="http://schemas.openxmlformats.org/officeDocument/2006/relationships" name="12_Acceptance_Checklist" sheetId="13" state="visible" r:id="rId13"/>
  </sheets>
  <definedNames>
    <definedName name="_xlnm._FilterDatabase" localSheetId="4" hidden="1">'04_Refined_Tab_Architecture'!$A$3:$G$18</definedName>
    <definedName name="_xlnm._FilterDatabase" localSheetId="5" hidden="1">'05_CRM_to_LIMS_Clickflows'!$A$3:$G$13</definedName>
    <definedName name="_xlnm._FilterDatabase" localSheetId="6" hidden="1">'06_Clinical_Workflow'!$A$3:$F$16</definedName>
    <definedName name="_xlnm._FilterDatabase" localSheetId="7" hidden="1">'07_Role_Permission_Matrix'!$A$3:$E$16</definedName>
    <definedName name="_xlnm._FilterDatabase" localSheetId="8" hidden="1">'08_Facility_Accreditation_Config'!$A$3:$F$11</definedName>
    <definedName name="_xlnm._FilterDatabase" localSheetId="9" hidden="1">'09_Core_Data_Entities'!$A$3:$E$17</definedName>
    <definedName name="_xlnm._FilterDatabase" localSheetId="10" hidden="1">'10_MVP_Roadmap'!$A$3:$E$12</definedName>
    <definedName name="_xlnm._FilterDatabase" localSheetId="11" hidden="1">'11_UX_Design_Standards'!$A$3:$E$14</definedName>
    <definedName name="_xlnm._FilterDatabase" localSheetId="12" hidden="1">'12_Acceptance_Checklist'!$A$3:$E$15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Noto Sans Devanagari"/>
      <family val="2"/>
      <b val="1"/>
      <color rgb="FFCCFBF1"/>
      <sz val="10"/>
    </font>
    <font>
      <name val="Calibri"/>
      <charset val="1"/>
      <family val="0"/>
      <b val="1"/>
      <color rgb="FFCCFBF1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0D9488"/>
      <sz val="16"/>
    </font>
    <font>
      <name val="Calibri"/>
      <charset val="1"/>
      <family val="0"/>
      <color rgb="FF64748B"/>
      <sz val="8"/>
    </font>
    <font>
      <name val="Calibri"/>
      <charset val="1"/>
      <family val="0"/>
      <b val="1"/>
      <color rgb="FFFFFFFF"/>
      <sz val="11"/>
    </font>
    <font>
      <name val="Noto Sans Devanagari"/>
      <family val="2"/>
      <b val="1"/>
      <color rgb="FFFFFFFF"/>
      <sz val="11"/>
    </font>
    <font>
      <name val="Calibri"/>
      <charset val="1"/>
      <family val="0"/>
      <b val="1"/>
      <color rgb="FFFFFFFF"/>
      <sz val="10"/>
    </font>
    <font>
      <name val="Noto Sans Devanagari"/>
      <family val="2"/>
      <b val="1"/>
      <color rgb="FFFFFFFF"/>
      <sz val="10"/>
    </font>
    <font>
      <name val="Calibri"/>
      <charset val="1"/>
      <family val="0"/>
      <b val="1"/>
      <color rgb="FF0F172A"/>
      <sz val="10"/>
    </font>
    <font>
      <name val="Noto Sans Devanagari"/>
      <family val="2"/>
      <b val="1"/>
      <color rgb="FF0F172A"/>
      <sz val="10"/>
    </font>
    <font>
      <name val="Calibri"/>
      <charset val="1"/>
      <family val="0"/>
      <color rgb="FF0F172A"/>
      <sz val="10"/>
    </font>
    <font>
      <name val="Noto Sans Devanagari"/>
      <family val="2"/>
      <color rgb="FF0F172A"/>
      <sz val="10"/>
    </font>
    <font>
      <name val="Calibri"/>
      <charset val="1"/>
      <family val="0"/>
      <i val="1"/>
      <color rgb="FF334155"/>
      <sz val="9"/>
    </font>
    <font>
      <name val="Noto Sans Devanagari"/>
      <family val="2"/>
      <b val="1"/>
      <color rgb="FFFFFFFF"/>
      <sz val="15"/>
    </font>
    <font>
      <name val="Aptos"/>
      <color rgb="00202124"/>
      <sz val="10"/>
    </font>
    <font>
      <name val="Aptos Display"/>
      <b val="1"/>
      <color rgb="00FFFFFF"/>
      <sz val="16"/>
    </font>
    <font>
      <name val="Aptos"/>
      <i val="1"/>
      <color rgb="00202124"/>
      <sz val="10"/>
    </font>
    <font>
      <b val="1"/>
      <color rgb="00FFFFFF"/>
    </font>
    <font>
      <b val="1"/>
      <color rgb="007F6000"/>
      <sz val="10"/>
    </font>
    <font>
      <b val="1"/>
      <color rgb="00FFFFFF"/>
      <sz val="14"/>
    </font>
    <font>
      <name val="Aptos Display"/>
      <b val="1"/>
      <color rgb="00FFFFFF"/>
      <sz val="18"/>
    </font>
  </fonts>
  <fills count="17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0D9488"/>
        <bgColor rgb="FF008080"/>
      </patternFill>
    </fill>
    <fill>
      <patternFill patternType="solid">
        <fgColor rgb="FF1E293B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F1F5F9"/>
        <bgColor rgb="FFF8FAFC"/>
      </patternFill>
    </fill>
    <fill>
      <patternFill patternType="solid">
        <fgColor rgb="FFFEFCE8"/>
        <bgColor rgb="FFF8FAFC"/>
      </patternFill>
    </fill>
    <fill>
      <patternFill patternType="solid">
        <fgColor rgb="FFF0FDFA"/>
        <bgColor rgb="FFF8FAFC"/>
      </patternFill>
    </fill>
    <fill>
      <patternFill patternType="solid">
        <fgColor rgb="FFF8FAFC"/>
        <bgColor rgb="FFF0FDFA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0F6B78"/>
      </patternFill>
    </fill>
    <fill>
      <patternFill patternType="solid">
        <fgColor rgb="00F7F9FC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bottom style="thin">
        <color rgb="00D9E1F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3" fontId="14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26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 wrapText="1"/>
    </xf>
    <xf numFmtId="0" fontId="23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vertical="center" wrapText="1"/>
    </xf>
    <xf numFmtId="0" fontId="22" fillId="11" borderId="0" applyAlignment="1" pivotButton="0" quotePrefix="0" xfId="0">
      <alignment vertical="center" wrapText="1"/>
    </xf>
    <xf numFmtId="0" fontId="24" fillId="13" borderId="0" applyAlignment="1" pivotButton="0" quotePrefix="0" xfId="0">
      <alignment vertical="center" wrapText="1"/>
    </xf>
    <xf numFmtId="0" fontId="23" fillId="12" borderId="1" applyAlignment="1" pivotButton="0" quotePrefix="0" xfId="0">
      <alignment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3" fontId="23" fillId="12" borderId="1" applyAlignment="1" pivotButton="0" quotePrefix="0" xfId="0">
      <alignment vertical="center" wrapText="1"/>
    </xf>
    <xf numFmtId="0" fontId="2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3" fillId="12" borderId="0" applyAlignment="1" pivotButton="0" quotePrefix="0" xfId="0">
      <alignment vertical="center" wrapText="1"/>
    </xf>
    <xf numFmtId="3" fontId="20" fillId="7" borderId="1" applyAlignment="1" pivotButton="0" quotePrefix="0" xfId="0">
      <alignment vertical="top" wrapText="1"/>
    </xf>
    <xf numFmtId="0" fontId="20" fillId="8" borderId="1" applyAlignment="1" pivotButton="0" quotePrefix="0" xfId="0">
      <alignment vertical="top" wrapText="1"/>
    </xf>
    <xf numFmtId="0" fontId="20" fillId="7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0" fontId="16" fillId="8" borderId="1" applyAlignment="1" pivotButton="0" quotePrefix="0" xfId="0">
      <alignment vertical="top" wrapText="1"/>
    </xf>
    <xf numFmtId="0" fontId="20" fillId="3" borderId="1" applyAlignment="1" pivotButton="0" quotePrefix="0" xfId="0">
      <alignment vertical="top" wrapText="1"/>
    </xf>
    <xf numFmtId="0" fontId="20" fillId="9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  <xf numFmtId="0" fontId="20" fillId="5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16" fillId="9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6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20" fillId="3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 wrapText="1"/>
    </xf>
    <xf numFmtId="0" fontId="20" fillId="7" borderId="2" applyAlignment="1" pivotButton="0" quotePrefix="0" xfId="0">
      <alignment vertical="center" wrapText="1"/>
    </xf>
    <xf numFmtId="0" fontId="20" fillId="4" borderId="0" applyAlignment="1" pivotButton="0" quotePrefix="0" xfId="0">
      <alignment vertical="center" wrapText="1"/>
    </xf>
    <xf numFmtId="0" fontId="20" fillId="8" borderId="1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0" fillId="6" borderId="1" applyAlignment="1" pivotButton="0" quotePrefix="0" xfId="0">
      <alignment vertical="center" wrapText="1"/>
    </xf>
    <xf numFmtId="0" fontId="20" fillId="7" borderId="1" applyAlignment="1" pivotButton="0" quotePrefix="0" xfId="0">
      <alignment vertical="center" wrapText="1"/>
    </xf>
    <xf numFmtId="0" fontId="20" fillId="2" borderId="0" applyAlignment="1" pivotButton="0" quotePrefix="0" xfId="0">
      <alignment vertical="center" wrapText="1"/>
    </xf>
    <xf numFmtId="0" fontId="16" fillId="7" borderId="1" applyAlignment="1" pivotButton="0" quotePrefix="0" xfId="0">
      <alignment vertical="center" wrapText="1"/>
    </xf>
    <xf numFmtId="0" fontId="25" fillId="10" borderId="0" applyAlignment="1" pivotButton="0" quotePrefix="0" xfId="0">
      <alignment vertical="top" wrapText="1"/>
    </xf>
    <xf numFmtId="0" fontId="23" fillId="12" borderId="1" applyAlignment="1" pivotButton="0" quotePrefix="0" xfId="0">
      <alignment vertical="top" wrapText="1"/>
    </xf>
    <xf numFmtId="0" fontId="23" fillId="12" borderId="0" pivotButton="0" quotePrefix="0" xfId="0"/>
    <xf numFmtId="0" fontId="20" fillId="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21" fillId="10" borderId="0" applyAlignment="1" pivotButton="0" quotePrefix="0" xfId="0">
      <alignment vertical="center"/>
    </xf>
    <xf numFmtId="0" fontId="23" fillId="12" borderId="7" applyAlignment="1" pivotButton="0" quotePrefix="0" xfId="0">
      <alignment vertical="center" wrapText="1"/>
    </xf>
    <xf numFmtId="0" fontId="20" fillId="0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1E7DD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CFF4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F1F5F9"/>
      <rgbColor rgb="FF808080"/>
      <rgbColor rgb="FF9999FF"/>
      <rgbColor rgb="FF993366"/>
      <rgbColor rgb="FFFFF3CD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F4FC"/>
      <rgbColor rgb="FFD1E7DD"/>
      <rgbColor rgb="FFFEFCE8"/>
      <rgbColor rgb="FFF0FDFA"/>
      <rgbColor rgb="FFF8FAF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RefinedArchitecture" displayName="RefinedArchitecture" ref="A3:G18" headerRowCount="1">
  <autoFilter ref="A3:G18"/>
  <tableColumns count="7">
    <tableColumn id="1" name="Order"/>
    <tableColumn id="2" name="Main navigation label"/>
    <tableColumn id="3" name="UI placement"/>
    <tableColumn id="4" name="Primary roles"/>
    <tableColumn id="5" name="Sub-tabs / key capabilities"/>
    <tableColumn id="6" name="Scope"/>
    <tableColumn id="7" name="UX / control recommend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ickflows" displayName="Clickflows" ref="A3:G13" headerRowCount="1">
  <autoFilter ref="A3:G13"/>
  <tableColumns count="7">
    <tableColumn id="1" name="Entry point"/>
    <tableColumn id="2" name="User action"/>
    <tableColumn id="3" name="Context key"/>
    <tableColumn id="4" name="Target journey"/>
    <tableColumn id="5" name="Context shown"/>
    <tableColumn id="6" name="Allowed roles"/>
    <tableColumn id="7" name="UX / safety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inicalWorkflow" displayName="ClinicalWorkflow" ref="A3:F16" headerRowCount="1">
  <autoFilter ref="A3:F16"/>
  <tableColumns count="6">
    <tableColumn id="1" name="Stage"/>
    <tableColumn id="2" name="Workflow step"/>
    <tableColumn id="3" name="Entry checks / data captured"/>
    <tableColumn id="4" name="Allowed states"/>
    <tableColumn id="5" name="Owner"/>
    <tableColumn id="6" name="Blocking rule / audit require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leMatrix" displayName="RoleMatrix" ref="A3:E16" headerRowCount="1">
  <autoFilter ref="A3:E16"/>
  <tableColumns count="5">
    <tableColumn id="1" name="Role"/>
    <tableColumn id="2" name="Allowed capabilities"/>
    <tableColumn id="3" name="Restrictions / separation of duties"/>
    <tableColumn id="4" name="Main modules"/>
    <tableColumn id="5" name="Scope 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cilityConfig" displayName="FacilityConfig" ref="A3:F11" headerRowCount="1">
  <autoFilter ref="A3:F11"/>
  <tableColumns count="6">
    <tableColumn id="1" name="Configuration area"/>
    <tableColumn id="2" name="Fields / settings"/>
    <tableColumn id="3" name="Baseline"/>
    <tableColumn id="4" name="Example options"/>
    <tableColumn id="5" name="Applies at"/>
    <tableColumn id="6" name="Design / compliance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reEntities" displayName="CoreEntities" ref="A3:E17" headerRowCount="1">
  <autoFilter ref="A3:E17"/>
  <tableColumns count="5">
    <tableColumn id="1" name="Entity"/>
    <tableColumn id="2" name="Primary identifier"/>
    <tableColumn id="3" name="Identity rule"/>
    <tableColumn id="4" name="Linked entities / use"/>
    <tableColumn id="5" name="Integrity / privacy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oadmap" displayName="Roadmap" ref="A3:E12" headerRowCount="1">
  <autoFilter ref="A3:E12"/>
  <tableColumns count="5">
    <tableColumn id="1" name="Phase"/>
    <tableColumn id="2" name="Scope"/>
    <tableColumn id="3" name="Priority"/>
    <tableColumn id="4" name="Acceptance / risk gate"/>
    <tableColumn id="5" name="Module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UXStandards" displayName="UXStandards" ref="A3:E14" headerRowCount="1">
  <autoFilter ref="A3:E14"/>
  <tableColumns count="5">
    <tableColumn id="1" name="Pattern"/>
    <tableColumn id="2" name="Recommendation"/>
    <tableColumn id="3" name="Where used"/>
    <tableColumn id="4" name="Rule / rationale"/>
    <tableColumn id="5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cceptanceChecklist" displayName="AcceptanceChecklist" ref="A3:E15" headerRowCount="1">
  <autoFilter ref="A3:E15"/>
  <tableColumns count="5">
    <tableColumn id="1" name="Area"/>
    <tableColumn id="2" name="Acceptance criterion"/>
    <tableColumn id="3" name="Verification method"/>
    <tableColumn id="4" name="Status"/>
    <tableColumn id="5" name="Evidenc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style="28" min="1" max="1"/>
    <col width="22" customWidth="1" style="28" min="2" max="2"/>
    <col width="22" customWidth="1" style="28" min="3" max="3"/>
    <col width="22" customWidth="1" style="28" min="4" max="4"/>
    <col width="22" customWidth="1" style="28" min="5" max="5"/>
    <col width="22" customWidth="1" style="28" min="6" max="6"/>
  </cols>
  <sheetData>
    <row r="1" ht="40" customHeight="1" s="28">
      <c r="A1" s="29" t="inlineStr">
        <is>
          <t>PATHO-AI LIMS — REFINED UI/UX BLUEPRINT</t>
        </is>
      </c>
    </row>
    <row r="2" ht="34" customHeight="1" s="28">
      <c r="A2" s="30" t="inlineStr">
        <is>
          <t>Refined from the supplied workbook. Use this file for product scope, navigation, workflows, permissions and implementation handoff.</t>
        </is>
      </c>
    </row>
    <row r="4" ht="55" customHeight="1" s="28">
      <c r="A4" s="31" t="inlineStr">
        <is>
          <t>WHAT CHANGED</t>
        </is>
      </c>
      <c r="B4" s="32" t="inlineStr">
        <is>
          <t>Preserved and renamed the original three sheets; added refined module architecture, CRM→LIMS clickflows, clinical workflow states, role permissions, facility/accreditation configuration, core entities, roadmap, UX standards and acceptance checklist.</t>
        </is>
      </c>
    </row>
    <row r="5" ht="55" customHeight="1" s="28">
      <c r="A5" s="31" t="inlineStr">
        <is>
          <t>RECOMMENDED MAIN NAV</t>
        </is>
      </c>
      <c r="B5" s="33" t="inlineStr">
        <is>
          <t>Home &amp; Command Center · CRM &amp; Relationships · Orders &amp; Billing · Collection &amp; Accession · Lab Operations · Results &amp; Reporting · Quality &amp; Compliance · Inventory &amp; Procurement · Analytics · Configuration &amp; Access.</t>
        </is>
      </c>
    </row>
    <row r="6" ht="55" customHeight="1" s="28">
      <c r="A6" s="31" t="inlineStr">
        <is>
          <t>CRM → LIMS PRINCIPLE</t>
        </is>
      </c>
      <c r="B6" s="32" t="inlineStr">
        <is>
          <t>A click on a patient, account, order, sample or result opens the matching record using a stable ID. Authorization is checked at destination; the user can return to the CRM context without losing filters.</t>
        </is>
      </c>
    </row>
    <row r="7" ht="55" customHeight="1" s="28">
      <c r="A7" s="31" t="inlineStr">
        <is>
          <t>NABL / NON-NABL ASSUMPTION</t>
        </is>
      </c>
      <c r="B7" s="33" t="inlineStr">
        <is>
          <t>The source wording 'NEV/non-NEV' is ambiguous. This refinement assumes it may mean NABL/non-NABL and makes accreditation configurable per facility and scope. Confirm with the product owner.</t>
        </is>
      </c>
    </row>
    <row r="8" ht="55" customHeight="1" s="28">
      <c r="A8" s="31" t="inlineStr">
        <is>
          <t>CORE SAFETY RULES</t>
        </is>
      </c>
      <c r="B8" s="32" t="inlineStr">
        <is>
          <t>Distinct PatientID/OrderID/SampleID/ResultID; specimen acceptance gates; QC holds; separate technical validation and medical authorization; versioned report corrections; audit trails; least-privilege role access.</t>
        </is>
      </c>
    </row>
    <row r="9" ht="55" customHeight="1" s="28">
      <c r="A9" s="31" t="inlineStr">
        <is>
          <t>EXCEL LIMITATION</t>
        </is>
      </c>
      <c r="B9" s="33" t="inlineStr">
        <is>
          <t>Excel is appropriate for reviewing the UX/requirements blueprint. It is not a secure multi-user clinical LIMS: workbook protection cannot provide robust RBAC, concurrency, immutable audit trails, or safe clinical result release.</t>
        </is>
      </c>
    </row>
    <row r="10" ht="55" customHeight="1" s="28">
      <c r="A10" s="31" t="inlineStr">
        <is>
          <t>HOW TO USE</t>
        </is>
      </c>
      <c r="B10" s="32" t="inlineStr">
        <is>
          <t>1) Review 04_Refined_Tab_Architecture. 2) Confirm scope and facility types in 08_Facility_Accreditation_Config. 3) Validate clinical states in 06_Clinical_Workflow with lab leads. 4) Approve roles in 07_Role_Permission_Matrix. 5) Use 12_Acceptance_Checklist for sign-off.</t>
        </is>
      </c>
    </row>
    <row r="11" ht="55" customHeight="1" s="28">
      <c r="A11" s="31" t="inlineStr">
        <is>
          <t>DECISIONS TO CONFIRM</t>
        </is>
      </c>
      <c r="B11" s="33" t="inlineStr">
        <is>
          <t>Specialties and tests; number of branches; whether billing/HR/CRM portal are in MVP; intended meaning of 'PW' and 'NEV'; applicable accreditation scope; analyzer vendors and required integrations; report authorization policy.</t>
        </is>
      </c>
    </row>
  </sheetData>
  <mergeCells count="10">
    <mergeCell ref="B4:F4"/>
    <mergeCell ref="A2:F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tabColor rgb="001F4E78"/>
    <outlinePr summaryBelow="1" summaryRight="1"/>
    <pageSetUpPr fitToPage="1"/>
  </sheetPr>
  <dimension ref="A1:I47"/>
  <sheetViews>
    <sheetView showFormulas="0" showGridLines="0" showRowColHeaders="1" showZeros="1" rightToLeft="0" tabSelected="1" showOutlineSymbols="1" defaultGridColor="1" view="normal" topLeftCell="A1" colorId="64" zoomScale="80" zoomScaleNormal="100" zoomScalePageLayoutView="60" workbookViewId="0">
      <pane ySplit="8" topLeftCell="A9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34" min="1" max="1"/>
    <col width="25" customWidth="1" style="34" min="2" max="2"/>
    <col width="28" customWidth="1" style="34" min="3" max="3"/>
    <col width="27" customWidth="1" style="34" min="4" max="4"/>
    <col width="26" customWidth="1" style="34" min="5" max="5"/>
    <col width="26" customWidth="1" style="34" min="6" max="6"/>
    <col width="29" customWidth="1" style="34" min="7" max="7"/>
    <col width="36" customWidth="1" style="34" min="8" max="9"/>
    <col width="28" customWidth="1" style="28" min="9" max="9"/>
  </cols>
  <sheetData>
    <row r="1" ht="34" customHeight="1" s="28">
      <c r="A1" s="35" t="inlineStr">
        <is>
          <t>PATHO-AI LIMS 2026 — EDITABLE UX/UI WORKFLOW &amp; FEATURE BLUEPRINT (DROPDOWN + DRAG-DROP)</t>
        </is>
      </c>
    </row>
    <row r="2" ht="38" customHeight="1" s="28">
      <c r="A2" s="36" t="inlineStr">
        <is>
          <t>कैसे इस्तेमाल करें (How to Use): हल्के पीले/हरे (Editable) बॉक्स में क्लिक करके Dropdown से चुनें या किसी भी Row को Drag/Cut-Paste करके ऊपर-नीचे करें। Column H में अपनी पसंद लिखें और फाइल वापस भेज दें!</t>
        </is>
      </c>
    </row>
    <row r="3" ht="32" customHeight="1" s="28">
      <c r="A3" s="37" t="inlineStr">
        <is>
          <t>Refinement note: 'NEV/non-NEV' appears to mean NABL / non-NABL. Keep this as configurable accreditation status, not a hard-coded workflow rule.</t>
        </is>
      </c>
    </row>
    <row r="4" ht="18" customHeight="1" s="28">
      <c r="A4" s="38" t="inlineStr">
        <is>
          <t>ACTIVE MAIN FRONT TABS</t>
        </is>
      </c>
      <c r="B4" s="39" t="n"/>
      <c r="C4" s="38" t="inlineStr">
        <is>
          <t>TOTAL SUB-FEATURES MAPPED</t>
        </is>
      </c>
      <c r="D4" s="39" t="n"/>
      <c r="E4" s="38" t="inlineStr">
        <is>
          <t>DRAWERS &amp; POPUP MODALS</t>
        </is>
      </c>
      <c r="F4" s="39" t="n"/>
      <c r="G4" s="38" t="inlineStr">
        <is>
          <t>ITEMS MARKED FOR CHANGE / NEW</t>
        </is>
      </c>
      <c r="H4" s="40" t="n"/>
      <c r="I4" s="39" t="n"/>
    </row>
    <row r="5" ht="25.5" customHeight="1" s="28">
      <c r="A5" s="41">
        <f>COUNTIF(F10:F19,"Keep / Required (रखना है)")</f>
        <v/>
      </c>
      <c r="B5" s="39" t="n"/>
      <c r="C5" s="41">
        <f>COUNTA(C23:C46)</f>
        <v/>
      </c>
      <c r="D5" s="39" t="n"/>
      <c r="E5" s="41">
        <f>COUNTIF(E23:E46,"Right Slide-Over Drawer")+COUNTIF(E23:E46,"Center Popup Modal")</f>
        <v/>
      </c>
      <c r="F5" s="39" t="n"/>
      <c r="G5" s="41">
        <f>COUNTIF(G23:G46,"Modify / Move (बदलना है)")+COUNTIF(G23:G46,"New Feature (नया जोड़ना है)")</f>
        <v/>
      </c>
      <c r="H5" s="40" t="n"/>
      <c r="I5" s="39" t="n"/>
    </row>
    <row r="6" ht="15.75" customHeight="1" s="28">
      <c r="A6" s="42" t="inlineStr">
        <is>
          <t>Top / Sidebar Main Tabs</t>
        </is>
      </c>
      <c r="B6" s="39" t="n"/>
      <c r="C6" s="42" t="inlineStr">
        <is>
          <t>Workflow Modules Configured</t>
        </is>
      </c>
      <c r="D6" s="39" t="n"/>
      <c r="E6" s="42" t="inlineStr">
        <is>
          <t>Clean Slide-Over / Popup UI</t>
        </is>
      </c>
      <c r="F6" s="39" t="n"/>
      <c r="G6" s="42" t="inlineStr">
        <is>
          <t>Custom Upgrades Requested</t>
        </is>
      </c>
      <c r="H6" s="40" t="n"/>
      <c r="I6" s="39" t="n"/>
    </row>
    <row r="7" ht="12" customHeight="1" s="28">
      <c r="A7" s="43" t="n"/>
      <c r="B7" s="43" t="n"/>
      <c r="C7" s="43" t="n"/>
      <c r="D7" s="43" t="n"/>
      <c r="E7" s="43" t="n"/>
      <c r="F7" s="43" t="n"/>
      <c r="G7" s="43" t="n"/>
      <c r="H7" s="43" t="n"/>
      <c r="I7" s="43" t="n"/>
    </row>
    <row r="8" ht="24" customHeight="1" s="28">
      <c r="A8" s="44" t="inlineStr">
        <is>
          <t>SECTION 1: MAIN FRONT TABS (फ्रंट स्क्रीन पर कौन-कौन से मुख्य टैब दिखेंगे और किस क्रम में रहेंगे — Order 1, 2, 3 बदलें)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</row>
    <row r="9" ht="34" customHeight="1" s="28">
      <c r="A9" s="38" t="inlineStr">
        <is>
          <t>Tab Order (#)</t>
        </is>
      </c>
      <c r="B9" s="38" t="inlineStr">
        <is>
          <t>Tab Code</t>
        </is>
      </c>
      <c r="C9" s="38" t="inlineStr">
        <is>
          <t>Main Front Tab Name (Editable)</t>
        </is>
      </c>
      <c r="D9" s="38" t="inlineStr">
        <is>
          <t>Screen Position (Dropdown)</t>
        </is>
      </c>
      <c r="E9" s="38" t="inlineStr">
        <is>
          <t>Target User Role (Dropdown)</t>
        </is>
      </c>
      <c r="F9" s="38" t="inlineStr">
        <is>
          <t>Your Decision (Dropdown)</t>
        </is>
      </c>
      <c r="G9" s="38" t="inlineStr">
        <is>
          <t>Default View Inside Tab</t>
        </is>
      </c>
      <c r="H9" s="38" t="inlineStr">
        <is>
          <t>Your Custom Notes / Changes (यहाँ लिखें क्या बदलना है)</t>
        </is>
      </c>
      <c r="I9" s="38" t="inlineStr">
        <is>
          <t>Live Route Summary [Auto]</t>
        </is>
      </c>
    </row>
    <row r="10" ht="34" customHeight="1" s="28">
      <c r="A10" s="45" t="n">
        <v>1</v>
      </c>
      <c r="B10" s="42" t="inlineStr">
        <is>
          <t>TAB-01</t>
        </is>
      </c>
      <c r="C10" s="46" t="inlineStr">
        <is>
          <t>📊 Dashboard (Executive &amp; Sales)</t>
        </is>
      </c>
      <c r="D10" s="47" t="inlineStr">
        <is>
          <t>Top Header Bar</t>
        </is>
      </c>
      <c r="E10" s="47" t="inlineStr">
        <is>
          <t>All Staff</t>
        </is>
      </c>
      <c r="F10" s="47" t="inlineStr">
        <is>
          <t>Keep / Required (रखना है)</t>
        </is>
      </c>
      <c r="G10" s="46" t="inlineStr">
        <is>
          <t>4 KPI Cards + 3 Live Charts + Quick Dept Cards</t>
        </is>
      </c>
      <c r="H10" s="47" t="inlineStr">
        <is>
          <t>यहाँ अपनी नोट लिखें (उदा. यही होम पेज रहे)</t>
        </is>
      </c>
      <c r="I10" s="42">
        <f>IF(C10="","",C10&amp;" ["&amp;D10&amp;" | "&amp;F10&amp;"]")</f>
        <v/>
      </c>
    </row>
    <row r="11" ht="34" customHeight="1" s="28">
      <c r="A11" s="45" t="n">
        <v>2</v>
      </c>
      <c r="B11" s="42" t="inlineStr">
        <is>
          <t>TAB-02</t>
        </is>
      </c>
      <c r="C11" s="46" t="inlineStr">
        <is>
          <t>🔬 Lab Operations (Worklist Step 1–5)</t>
        </is>
      </c>
      <c r="D11" s="47" t="inlineStr">
        <is>
          <t>Top Header Bar</t>
        </is>
      </c>
      <c r="E11" s="47" t="inlineStr">
        <is>
          <t>All Staff</t>
        </is>
      </c>
      <c r="F11" s="47" t="inlineStr">
        <is>
          <t>Keep / Required (रखना है)</t>
        </is>
      </c>
      <c r="G11" s="46" t="inlineStr">
        <is>
          <t>Pre-Analytical -&gt; Analytical -&gt; Post-Analytical Queue</t>
        </is>
      </c>
      <c r="H11" s="47" t="inlineStr">
        <is>
          <t>सैंपल क्यू और स्टेज फिल्टर</t>
        </is>
      </c>
      <c r="I11" s="42">
        <f>IF(C11="","",C11&amp;" ["&amp;D11&amp;" | "&amp;F11&amp;"]")</f>
        <v/>
      </c>
    </row>
    <row r="12" ht="34" customHeight="1" s="28">
      <c r="A12" s="45" t="n">
        <v>3</v>
      </c>
      <c r="B12" s="42" t="inlineStr">
        <is>
          <t>TAB-03</t>
        </is>
      </c>
      <c r="C12" s="46" t="inlineStr">
        <is>
          <t>💼 Business &amp; B2B/B2C Sales</t>
        </is>
      </c>
      <c r="D12" s="47" t="inlineStr">
        <is>
          <t>Top Header Bar</t>
        </is>
      </c>
      <c r="E12" s="47" t="inlineStr">
        <is>
          <t>Lab Owner / Admin</t>
        </is>
      </c>
      <c r="F12" s="47" t="inlineStr">
        <is>
          <t>Keep / Required (रखना है)</t>
        </is>
      </c>
      <c r="G12" s="46" t="inlineStr">
        <is>
          <t>4 Sub-Tabs: Sales, B2B/CC Wallet, Outsource, Rates</t>
        </is>
      </c>
      <c r="H12" s="47" t="inlineStr">
        <is>
          <t>बी2बी और सेल्स रिपोर्ट</t>
        </is>
      </c>
      <c r="I12" s="42">
        <f>IF(C12="","",C12&amp;" ["&amp;D12&amp;" | "&amp;F12&amp;"]")</f>
        <v/>
      </c>
    </row>
    <row r="13" ht="34" customHeight="1" s="28">
      <c r="A13" s="45" t="n">
        <v>4</v>
      </c>
      <c r="B13" s="42" t="inlineStr">
        <is>
          <t>TAB-04</t>
        </is>
      </c>
      <c r="C13" s="46" t="inlineStr">
        <is>
          <t>🛡️ Quality Control (NABL QC &amp; LIS)</t>
        </is>
      </c>
      <c r="D13" s="47" t="inlineStr">
        <is>
          <t>Top Header Bar</t>
        </is>
      </c>
      <c r="E13" s="47" t="inlineStr">
        <is>
          <t>Lab Technician</t>
        </is>
      </c>
      <c r="F13" s="47" t="inlineStr">
        <is>
          <t>Keep / Required (रखना है)</t>
        </is>
      </c>
      <c r="G13" s="46" t="inlineStr">
        <is>
          <t>Sysmex/Erba/Cobas HL7 Sync + Levey-Jennings Chart</t>
        </is>
      </c>
      <c r="H13" s="47" t="inlineStr">
        <is>
          <t>मशीन इंटरफेस और क्यूसी</t>
        </is>
      </c>
      <c r="I13" s="42">
        <f>IF(C13="","",C13&amp;" ["&amp;D13&amp;" | "&amp;F13&amp;"]")</f>
        <v/>
      </c>
    </row>
    <row r="14" ht="34" customHeight="1" s="28">
      <c r="A14" s="45" t="n">
        <v>5</v>
      </c>
      <c r="B14" s="42" t="inlineStr">
        <is>
          <t>TAB-05</t>
        </is>
      </c>
      <c r="C14" s="46" t="inlineStr">
        <is>
          <t>📦 Inventory &amp; Home Pickup</t>
        </is>
      </c>
      <c r="D14" s="47" t="inlineStr">
        <is>
          <t>Top Header Bar</t>
        </is>
      </c>
      <c r="E14" s="47" t="inlineStr">
        <is>
          <t>Lab Technician</t>
        </is>
      </c>
      <c r="F14" s="47" t="inlineStr">
        <is>
          <t>Keep / Required (रखना है)</t>
        </is>
      </c>
      <c r="G14" s="46" t="inlineStr">
        <is>
          <t>Vacutainer/Reagent Stock + Rider Pickup Table</t>
        </is>
      </c>
      <c r="H14" s="47" t="inlineStr">
        <is>
          <t>स्टॉक और होम पिकअप</t>
        </is>
      </c>
      <c r="I14" s="42">
        <f>IF(C14="","",C14&amp;" ["&amp;D14&amp;" | "&amp;F14&amp;"]")</f>
        <v/>
      </c>
    </row>
    <row r="15" ht="34" customHeight="1" s="28">
      <c r="A15" s="45" t="n">
        <v>6</v>
      </c>
      <c r="B15" s="42" t="inlineStr">
        <is>
          <t>TAB-06</t>
        </is>
      </c>
      <c r="C15" s="46" t="inlineStr">
        <is>
          <t>👥 HR, Staff Salary &amp; Expense P&amp;L</t>
        </is>
      </c>
      <c r="D15" s="47" t="inlineStr">
        <is>
          <t>Top Header Bar</t>
        </is>
      </c>
      <c r="E15" s="47" t="inlineStr">
        <is>
          <t>Lab Owner / Admin</t>
        </is>
      </c>
      <c r="F15" s="47" t="inlineStr">
        <is>
          <t>Keep / Required (रखना है)</t>
        </is>
      </c>
      <c r="G15" s="46" t="inlineStr">
        <is>
          <t>Staff Attendance, Salary Slip, Daily Expense &amp; P&amp;L</t>
        </is>
      </c>
      <c r="H15" s="47" t="inlineStr">
        <is>
          <t>स्टाफ सैलरी और खर्चा</t>
        </is>
      </c>
      <c r="I15" s="42">
        <f>IF(C15="","",C15&amp;" ["&amp;D15&amp;" | "&amp;F15&amp;"]")</f>
        <v/>
      </c>
    </row>
    <row r="16" ht="34" customHeight="1" s="28">
      <c r="A16" s="45" t="n">
        <v>7</v>
      </c>
      <c r="B16" s="42" t="inlineStr">
        <is>
          <t>TAB-07</t>
        </is>
      </c>
      <c r="C16" s="46" t="inlineStr">
        <is>
          <t>⚙️ Lab Setup &amp; Super Admin</t>
        </is>
      </c>
      <c r="D16" s="47" t="inlineStr">
        <is>
          <t>Top Quick Action Button</t>
        </is>
      </c>
      <c r="E16" s="47" t="inlineStr">
        <is>
          <t>Lab Owner / Admin</t>
        </is>
      </c>
      <c r="F16" s="47" t="inlineStr">
        <is>
          <t>Keep / Required (रखना है)</t>
        </is>
      </c>
      <c r="G16" s="46" t="inlineStr">
        <is>
          <t>Letterhead, Digital Sign, Custom Column Builder</t>
        </is>
      </c>
      <c r="H16" s="47" t="inlineStr">
        <is>
          <t>लेटरहेड और कस्टम कॉलम</t>
        </is>
      </c>
      <c r="I16" s="42">
        <f>IF(C16="","",C16&amp;" ["&amp;D16&amp;" | "&amp;F16&amp;"]")</f>
        <v/>
      </c>
    </row>
    <row r="17" ht="34" customHeight="1" s="28">
      <c r="A17" s="45" t="n">
        <v>8</v>
      </c>
      <c r="B17" s="42" t="inlineStr">
        <is>
          <t>TAB-08</t>
        </is>
      </c>
      <c r="C17" s="46" t="inlineStr">
        <is>
          <t>🎙️ Hey Zia Live Voice AI</t>
        </is>
      </c>
      <c r="D17" s="47" t="inlineStr">
        <is>
          <t>Floating Bottom-Right</t>
        </is>
      </c>
      <c r="E17" s="47" t="inlineStr">
        <is>
          <t>All Staff</t>
        </is>
      </c>
      <c r="F17" s="47" t="inlineStr">
        <is>
          <t>Keep / Required (रखना है)</t>
        </is>
      </c>
      <c r="G17" s="46" t="inlineStr">
        <is>
          <t>Hands-Free Hindi/Hinglish Voice Assistant</t>
        </is>
      </c>
      <c r="H17" s="47" t="inlineStr">
        <is>
          <t>बोलकर रजिस्ट्रेशन और रिपोर्ट</t>
        </is>
      </c>
      <c r="I17" s="42">
        <f>IF(C17="","",C17&amp;" ["&amp;D17&amp;" | "&amp;F17&amp;"]")</f>
        <v/>
      </c>
    </row>
    <row r="18" ht="34" customHeight="1" s="28">
      <c r="A18" s="45" t="n">
        <v>9</v>
      </c>
      <c r="B18" s="42" t="inlineStr">
        <is>
          <t>TAB-09</t>
        </is>
      </c>
      <c r="C18" s="48" t="n"/>
      <c r="D18" s="47" t="inlineStr">
        <is>
          <t>Top Header Bar</t>
        </is>
      </c>
      <c r="E18" s="47" t="inlineStr">
        <is>
          <t>All Staff</t>
        </is>
      </c>
      <c r="F18" s="49" t="n"/>
      <c r="G18" s="50" t="n"/>
      <c r="H18" s="47" t="inlineStr">
        <is>
          <t>&lt;-- नया Main Tab जोड़ना हो तो यहाँ नाम लिखें</t>
        </is>
      </c>
      <c r="I18" s="42">
        <f>IF(C18="","",C18&amp;" ["&amp;D18&amp;" | "&amp;F18&amp;"]")</f>
        <v/>
      </c>
    </row>
    <row r="19" ht="34" customHeight="1" s="28">
      <c r="A19" s="45" t="n">
        <v>10</v>
      </c>
      <c r="B19" s="42" t="inlineStr">
        <is>
          <t>TAB-10</t>
        </is>
      </c>
      <c r="C19" s="48" t="n"/>
      <c r="D19" s="47" t="inlineStr">
        <is>
          <t>Top Header Bar</t>
        </is>
      </c>
      <c r="E19" s="47" t="inlineStr">
        <is>
          <t>All Staff</t>
        </is>
      </c>
      <c r="F19" s="49" t="n"/>
      <c r="G19" s="50" t="n"/>
      <c r="H19" s="47" t="inlineStr">
        <is>
          <t>&lt;-- नया Main Tab जोड़ना हो तो यहाँ नाम लिखें</t>
        </is>
      </c>
      <c r="I19" s="42">
        <f>IF(C19="","",C19&amp;" ["&amp;D19&amp;" | "&amp;F19&amp;"]")</f>
        <v/>
      </c>
    </row>
    <row r="20" ht="34" customHeight="1" s="28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</row>
    <row r="21" ht="34" customHeight="1" s="28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</row>
    <row r="22" ht="34" customHeight="1" s="28">
      <c r="A22" s="44" t="inlineStr">
        <is>
          <t>SECTION 2: SUB-TABS &amp; FEATURES WORKFLOW (कौन सा फीचर किस Main Tab में रहेगा, Drawer में खुलेगा या Popup में — Dropdown से चुनें)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</row>
    <row r="23" ht="34" customHeight="1" s="28">
      <c r="A23" s="51" t="inlineStr">
        <is>
          <t>Seq (#)</t>
        </is>
      </c>
      <c r="B23" s="51" t="inlineStr">
        <is>
          <t>Clinical / Lab Stage (Dropdown)</t>
        </is>
      </c>
      <c r="C23" s="51" t="inlineStr">
        <is>
          <t>Sub-Tab / Feature Name (Editable)</t>
        </is>
      </c>
      <c r="D23" s="51" t="inlineStr">
        <is>
          <t>Parent Main Tab (Dropdown)</t>
        </is>
      </c>
      <c r="E23" s="51" t="inlineStr">
        <is>
          <t>How It Opens / UI Type (Dropdown)</t>
        </is>
      </c>
      <c r="F23" s="51" t="inlineStr">
        <is>
          <t>Included Sub-Features, Fields &amp; Buttons (Editable)</t>
        </is>
      </c>
      <c r="G23" s="51" t="inlineStr">
        <is>
          <t>Your Decision (Dropdown)</t>
        </is>
      </c>
      <c r="H23" s="51" t="inlineStr">
        <is>
          <t>Your Instructions (यहाँ लिखें कहाँ रखना है या क्या नया जोड़ना है)</t>
        </is>
      </c>
      <c r="I23" s="51" t="inlineStr">
        <is>
          <t>Mapped UI Path [Auto]</t>
        </is>
      </c>
    </row>
    <row r="24" ht="34" customHeight="1" s="28">
      <c r="A24" s="45" t="n">
        <v>1</v>
      </c>
      <c r="B24" s="47" t="inlineStr">
        <is>
          <t>Step 1: Pre-Analytical (Reg &amp; Bill)</t>
        </is>
      </c>
      <c r="C24" s="52" t="inlineStr">
        <is>
          <t>➕ New Patient Registration &amp; B2C/B2B Billing</t>
        </is>
      </c>
      <c r="D24" s="47" t="inlineStr">
        <is>
          <t>🔬 Lab Operations (Worklist Step 1–5)</t>
        </is>
      </c>
      <c r="E24" s="47" t="inlineStr">
        <is>
          <t>Right Slide-Over Drawer</t>
        </is>
      </c>
      <c r="F24" s="52" t="inlineStr">
        <is>
          <t>Title-&gt;Auto Gender, Age, Mobile, Ref Doctor/CC, Package 1-Click, Test Cards, Net Bill</t>
        </is>
      </c>
      <c r="G24" s="47" t="inlineStr">
        <is>
          <t>Keep / Required (रखना है)</t>
        </is>
      </c>
      <c r="H24" s="53" t="n"/>
      <c r="I24" s="42">
        <f>IF(C24="","",D24&amp;" ➔ "&amp;C24&amp;" ["&amp;E24&amp;"]")</f>
        <v/>
      </c>
    </row>
    <row r="25" ht="34" customHeight="1" s="28">
      <c r="A25" s="45" t="n">
        <v>2</v>
      </c>
      <c r="B25" s="47" t="inlineStr">
        <is>
          <t>Step 1: Pre-Analytical (Reg &amp; Bill)</t>
        </is>
      </c>
      <c r="C25" s="54" t="inlineStr">
        <is>
          <t>🏷️ Sample Barcode Sticker &amp; Tube List</t>
        </is>
      </c>
      <c r="D25" s="47" t="inlineStr">
        <is>
          <t>🔬 Lab Operations (Worklist Step 1–5)</t>
        </is>
      </c>
      <c r="E25" s="47" t="inlineStr">
        <is>
          <t>Center Popup Modal</t>
        </is>
      </c>
      <c r="F25" s="54" t="inlineStr">
        <is>
          <t>Patient Name, Barcode Lines, SMP-ID, Collection Time, Required Vacutainer Vials, Print</t>
        </is>
      </c>
      <c r="G25" s="47" t="inlineStr">
        <is>
          <t>Keep / Required (रखना है)</t>
        </is>
      </c>
      <c r="H25" s="53" t="n"/>
      <c r="I25" s="42">
        <f>IF(C25="","",D25&amp;" ➔ "&amp;C25&amp;" ["&amp;E25&amp;"]")</f>
        <v/>
      </c>
    </row>
    <row r="26" ht="34" customHeight="1" s="28">
      <c r="A26" s="45" t="n">
        <v>3</v>
      </c>
      <c r="B26" s="47" t="inlineStr">
        <is>
          <t>Step 1: Pre-Analytical (Reg &amp; Bill)</t>
        </is>
      </c>
      <c r="C26" s="52" t="inlineStr">
        <is>
          <t>🛵 Home Sample Pickup &amp; Rider Dispatch</t>
        </is>
      </c>
      <c r="D26" s="47" t="inlineStr">
        <is>
          <t>📦 Inventory &amp; Home Pickup</t>
        </is>
      </c>
      <c r="E26" s="47" t="inlineStr">
        <is>
          <t>Center Popup Modal</t>
        </is>
      </c>
      <c r="F26" s="52" t="inlineStr">
        <is>
          <t>Patient Address, Slot, Assign Phlebotomist Rider, Status Toggle, 1-Click WhatsApp Rider Alert</t>
        </is>
      </c>
      <c r="G26" s="47" t="inlineStr">
        <is>
          <t>Keep / Required (रखना है)</t>
        </is>
      </c>
      <c r="H26" s="53" t="n"/>
      <c r="I26" s="42">
        <f>IF(C26="","",D26&amp;" ➔ "&amp;C26&amp;" ["&amp;E26&amp;"]")</f>
        <v/>
      </c>
    </row>
    <row r="27" ht="34" customHeight="1" s="28">
      <c r="A27" s="45" t="n">
        <v>4</v>
      </c>
      <c r="B27" s="47" t="inlineStr">
        <is>
          <t>Step 2: Lab Worklist &amp; Receiving</t>
        </is>
      </c>
      <c r="C27" s="54" t="inlineStr">
        <is>
          <t>📋 3-Stage Pipeline Worklist (Pre / Lab / Post)</t>
        </is>
      </c>
      <c r="D27" s="47" t="inlineStr">
        <is>
          <t>🔬 Lab Operations (Worklist Step 1–5)</t>
        </is>
      </c>
      <c r="E27" s="47" t="inlineStr">
        <is>
          <t>Front Main Table / Card</t>
        </is>
      </c>
      <c r="F27" s="54" t="inlineStr">
        <is>
          <t>Stage Filter Buttons, Search Bar, Priority Filter, Sample Queue Table, Quick Action Buttons</t>
        </is>
      </c>
      <c r="G27" s="47" t="inlineStr">
        <is>
          <t>Keep / Required (रखना है)</t>
        </is>
      </c>
      <c r="H27" s="53" t="n"/>
      <c r="I27" s="42">
        <f>IF(C27="","",D27&amp;" ➔ "&amp;C27&amp;" ["&amp;E27&amp;"]")</f>
        <v/>
      </c>
    </row>
    <row r="28" ht="34" customHeight="1" s="28">
      <c r="A28" s="45" t="n">
        <v>5</v>
      </c>
      <c r="B28" s="47" t="inlineStr">
        <is>
          <t>Step 2: Lab Worklist &amp; Receiving</t>
        </is>
      </c>
      <c r="C28" s="52" t="inlineStr">
        <is>
          <t>⚠️ Sample Rejection &amp; Re-Collection Alert</t>
        </is>
      </c>
      <c r="D28" s="47" t="inlineStr">
        <is>
          <t>🔬 Lab Operations (Worklist Step 1–5)</t>
        </is>
      </c>
      <c r="E28" s="47" t="inlineStr">
        <is>
          <t>Right Slide-Over Drawer</t>
        </is>
      </c>
      <c r="F28" s="52" t="inlineStr">
        <is>
          <t>Hemolyzed / Clotted / QNS Rejection Button + Security Audit Log Entry</t>
        </is>
      </c>
      <c r="G28" s="47" t="inlineStr">
        <is>
          <t>Keep / Required (रखना है)</t>
        </is>
      </c>
      <c r="H28" s="53" t="n"/>
      <c r="I28" s="42">
        <f>IF(C28="","",D28&amp;" ➔ "&amp;C28&amp;" ["&amp;E28&amp;"]")</f>
        <v/>
      </c>
    </row>
    <row r="29" ht="34" customHeight="1" s="28">
      <c r="A29" s="45" t="n">
        <v>6</v>
      </c>
      <c r="B29" s="47" t="inlineStr">
        <is>
          <t>Step 3: Analytical &amp; Machine LIS</t>
        </is>
      </c>
      <c r="C29" s="54" t="inlineStr">
        <is>
          <t>🤖 Automated Analyzer LIS Sync (HL7 / ASTM)</t>
        </is>
      </c>
      <c r="D29" s="47" t="inlineStr">
        <is>
          <t>🛡️ Quality Control (NABL QC &amp; LIS)</t>
        </is>
      </c>
      <c r="E29" s="47" t="inlineStr">
        <is>
          <t>Front Main Table / Card</t>
        </is>
      </c>
      <c r="F29" s="54" t="inlineStr">
        <is>
          <t>Sysmex XN-550, Erba XL-640, Roche Cobas Online Cards + Live HL7 Stream + 1-Click Batch Sync</t>
        </is>
      </c>
      <c r="G29" s="47" t="inlineStr">
        <is>
          <t>Keep / Required (रखना है)</t>
        </is>
      </c>
      <c r="H29" s="53" t="n"/>
      <c r="I29" s="42">
        <f>IF(C29="","",D29&amp;" ➔ "&amp;C29&amp;" ["&amp;E29&amp;"]")</f>
        <v/>
      </c>
    </row>
    <row r="30" ht="34" customHeight="1" s="28">
      <c r="A30" s="45" t="n">
        <v>7</v>
      </c>
      <c r="B30" s="47" t="inlineStr">
        <is>
          <t>Step 3: Analytical &amp; Machine LIS</t>
        </is>
      </c>
      <c r="C30" s="52" t="inlineStr">
        <is>
          <t>🔬 Test Result Entry &amp; Auto-Formula (LDL)</t>
        </is>
      </c>
      <c r="D30" s="47" t="inlineStr">
        <is>
          <t>🔬 Lab Operations (Worklist Step 1–5)</t>
        </is>
      </c>
      <c r="E30" s="47" t="inlineStr">
        <is>
          <t>Right Slide-Over Drawer</t>
        </is>
      </c>
      <c r="F30" s="52" t="inlineStr">
        <is>
          <t>Gender-Aware Ref Ranges, Auto Normal/Abnormal Fill, Friedewald LDL Calc, Critical Flags</t>
        </is>
      </c>
      <c r="G30" s="47" t="inlineStr">
        <is>
          <t>Keep / Required (रखना है)</t>
        </is>
      </c>
      <c r="H30" s="53" t="n"/>
      <c r="I30" s="42">
        <f>IF(C30="","",D30&amp;" ➔ "&amp;C30&amp;" ["&amp;E30&amp;"]")</f>
        <v/>
      </c>
    </row>
    <row r="31" ht="34" customHeight="1" s="28">
      <c r="A31" s="45" t="n">
        <v>8</v>
      </c>
      <c r="B31" s="47" t="inlineStr">
        <is>
          <t>Step 3: Analytical &amp; Machine LIS</t>
        </is>
      </c>
      <c r="C31" s="54" t="inlineStr">
        <is>
          <t>📈 NABL Delta Check (Past Visit vs Today)</t>
        </is>
      </c>
      <c r="D31" s="47" t="inlineStr">
        <is>
          <t>🔬 Lab Operations (Worklist Step 1–5)</t>
        </is>
      </c>
      <c r="E31" s="47" t="inlineStr">
        <is>
          <t>Right Slide-Over Drawer</t>
        </is>
      </c>
      <c r="F31" s="54" t="inlineStr">
        <is>
          <t>Previous Visit Reading Badge, Delta % Change &amp; Comparison Bar Chart inside Result Drawer</t>
        </is>
      </c>
      <c r="G31" s="47" t="inlineStr">
        <is>
          <t>Keep / Required (रखना है)</t>
        </is>
      </c>
      <c r="H31" s="53" t="n"/>
      <c r="I31" s="42">
        <f>IF(C31="","",D31&amp;" ➔ "&amp;C31&amp;" ["&amp;E31&amp;"]")</f>
        <v/>
      </c>
    </row>
    <row r="32" ht="34" customHeight="1" s="28">
      <c r="A32" s="45" t="n">
        <v>9</v>
      </c>
      <c r="B32" s="47" t="inlineStr">
        <is>
          <t>Step 4: Post-Analytical &amp; Dispatch</t>
        </is>
      </c>
      <c r="C32" s="52" t="inlineStr">
        <is>
          <t>🖨️ Printable NABL A4 Report &amp; PDF Export</t>
        </is>
      </c>
      <c r="D32" s="47" t="inlineStr">
        <is>
          <t>🔬 Lab Operations (Worklist Step 1–5)</t>
        </is>
      </c>
      <c r="E32" s="47" t="inlineStr">
        <is>
          <t>Center Popup Modal</t>
        </is>
      </c>
      <c r="F32" s="52" t="inlineStr">
        <is>
          <t>Toggle NABL/Non-NABL, Letterhead ON/OFF, Method, AI Note, QR Code, Doctor Digital Sign</t>
        </is>
      </c>
      <c r="G32" s="47" t="inlineStr">
        <is>
          <t>Keep / Required (रखना है)</t>
        </is>
      </c>
      <c r="H32" s="53" t="n"/>
      <c r="I32" s="42">
        <f>IF(C32="","",D32&amp;" ➔ "&amp;C32&amp;" ["&amp;E32&amp;"]")</f>
        <v/>
      </c>
    </row>
    <row r="33" ht="34" customHeight="1" s="28">
      <c r="A33" s="45" t="n">
        <v>10</v>
      </c>
      <c r="B33" s="47" t="inlineStr">
        <is>
          <t>Step 4: Post-Analytical &amp; Dispatch</t>
        </is>
      </c>
      <c r="C33" s="54" t="inlineStr">
        <is>
          <t>💳 Smart Billing, Discount &amp; Cash Receipt</t>
        </is>
      </c>
      <c r="D33" s="47" t="inlineStr">
        <is>
          <t>💼 Business &amp; B2B/B2C Sales</t>
        </is>
      </c>
      <c r="E33" s="47" t="inlineStr">
        <is>
          <t>Right Slide-Over Drawer</t>
        </is>
      </c>
      <c r="F33" s="54" t="inlineStr">
        <is>
          <t>Preset/Custom Discount %, UPI/Cash/CC Ledger Mode, Paid/Pending Toggle, Printable Receipt</t>
        </is>
      </c>
      <c r="G33" s="47" t="inlineStr">
        <is>
          <t>Keep / Required (रखना है)</t>
        </is>
      </c>
      <c r="H33" s="53" t="n"/>
      <c r="I33" s="42">
        <f>IF(C33="","",D33&amp;" ➔ "&amp;C33&amp;" ["&amp;E33&amp;"]")</f>
        <v/>
      </c>
    </row>
    <row r="34" ht="34" customHeight="1" s="28">
      <c r="A34" s="45" t="n">
        <v>11</v>
      </c>
      <c r="B34" s="47" t="inlineStr">
        <is>
          <t>Step 4: Post-Analytical &amp; Dispatch</t>
        </is>
      </c>
      <c r="C34" s="52" t="inlineStr">
        <is>
          <t>📲 Dual WhatsApp, SMS &amp; Email Dispatcher</t>
        </is>
      </c>
      <c r="D34" s="47" t="inlineStr">
        <is>
          <t>💼 Business &amp; B2B/B2C Sales</t>
        </is>
      </c>
      <c r="E34" s="47" t="inlineStr">
        <is>
          <t>Right Slide-Over Drawer</t>
        </is>
      </c>
      <c r="F34" s="52" t="inlineStr">
        <is>
          <t>Send Report Link &amp; Bill to Patient OR Referring Doctor/CC via WhatsApp, SMS &amp; Email</t>
        </is>
      </c>
      <c r="G34" s="47" t="inlineStr">
        <is>
          <t>Keep / Required (रखना है)</t>
        </is>
      </c>
      <c r="H34" s="53" t="n"/>
      <c r="I34" s="42">
        <f>IF(C34="","",D34&amp;" ➔ "&amp;C34&amp;" ["&amp;E34&amp;"]")</f>
        <v/>
      </c>
    </row>
    <row r="35" ht="34" customHeight="1" s="28">
      <c r="A35" s="45" t="n">
        <v>12</v>
      </c>
      <c r="B35" s="47" t="inlineStr">
        <is>
          <t>Step 4: Post-Analytical &amp; Dispatch</t>
        </is>
      </c>
      <c r="C35" s="54" t="inlineStr">
        <is>
          <t>📱 Patient Self-Service QR Health Pass</t>
        </is>
      </c>
      <c r="D35" s="47" t="inlineStr">
        <is>
          <t>💼 Business &amp; B2B/B2C Sales</t>
        </is>
      </c>
      <c r="E35" s="47" t="inlineStr">
        <is>
          <t>Right Slide-Over Drawer</t>
        </is>
      </c>
      <c r="F35" s="54" t="inlineStr">
        <is>
          <t>Smartphone QR Scan View, Visual Biomarker Bars, Hindi Voice Report Readout, PDF Download</t>
        </is>
      </c>
      <c r="G35" s="47" t="inlineStr">
        <is>
          <t>Keep / Required (रखना है)</t>
        </is>
      </c>
      <c r="H35" s="53" t="n"/>
      <c r="I35" s="42">
        <f>IF(C35="","",D35&amp;" ➔ "&amp;C35&amp;" ["&amp;E35&amp;"]")</f>
        <v/>
      </c>
    </row>
    <row r="36" ht="34" customHeight="1" s="28">
      <c r="A36" s="45" t="n">
        <v>13</v>
      </c>
      <c r="B36" s="47" t="inlineStr">
        <is>
          <t>B2B / Outsource / Accounts</t>
        </is>
      </c>
      <c r="C36" s="52" t="inlineStr">
        <is>
          <t>🏥 B2B / Collection Center (CC) Prepaid Wallet</t>
        </is>
      </c>
      <c r="D36" s="47" t="inlineStr">
        <is>
          <t>💼 Business &amp; B2B/B2C Sales</t>
        </is>
      </c>
      <c r="E36" s="47" t="inlineStr">
        <is>
          <t>Sub-Tab Inside Page</t>
        </is>
      </c>
      <c r="F36" s="52" t="inlineStr">
        <is>
          <t>Partner Credit Wallet Balance, Auto-Deduction on B2B Reg, +₹2000 Top-Up, Doctor Commission</t>
        </is>
      </c>
      <c r="G36" s="47" t="inlineStr">
        <is>
          <t>Keep / Required (रखना है)</t>
        </is>
      </c>
      <c r="H36" s="53" t="n"/>
      <c r="I36" s="42">
        <f>IF(C36="","",D36&amp;" ➔ "&amp;C36&amp;" ["&amp;E36&amp;"]")</f>
        <v/>
      </c>
    </row>
    <row r="37" ht="34" customHeight="1" s="28">
      <c r="A37" s="45" t="n">
        <v>14</v>
      </c>
      <c r="B37" s="47" t="inlineStr">
        <is>
          <t>B2B / Outsource / Accounts</t>
        </is>
      </c>
      <c r="C37" s="54" t="inlineStr">
        <is>
          <t>🌐 Outsource Reference Lab Margin Tracker</t>
        </is>
      </c>
      <c r="D37" s="47" t="inlineStr">
        <is>
          <t>💼 Business &amp; B2B/B2C Sales</t>
        </is>
      </c>
      <c r="E37" s="47" t="inlineStr">
        <is>
          <t>Sub-Tab Inside Page</t>
        </is>
      </c>
      <c r="F37" s="54" t="inlineStr">
        <is>
          <t>Lal PathLabs / Thyrocare / Metropolis Dispatch Popup, AWB Tracking, B2C vs B2B Net Margin</t>
        </is>
      </c>
      <c r="G37" s="47" t="inlineStr">
        <is>
          <t>Keep / Required (रखना है)</t>
        </is>
      </c>
      <c r="H37" s="53" t="n"/>
      <c r="I37" s="42">
        <f>IF(C37="","",D37&amp;" ➔ "&amp;C37&amp;" ["&amp;E37&amp;"]")</f>
        <v/>
      </c>
    </row>
    <row r="38" ht="34" customHeight="1" s="28">
      <c r="A38" s="45" t="n">
        <v>15</v>
      </c>
      <c r="B38" s="47" t="inlineStr">
        <is>
          <t>B2B / Outsource / Accounts</t>
        </is>
      </c>
      <c r="C38" s="52" t="inlineStr">
        <is>
          <t>📚 Master Test Catalog, B2C/B2B Rates &amp; Packages</t>
        </is>
      </c>
      <c r="D38" s="47" t="inlineStr">
        <is>
          <t>💼 Business &amp; B2B/B2C Sales</t>
        </is>
      </c>
      <c r="E38" s="47" t="inlineStr">
        <is>
          <t>Sub-Tab Inside Page</t>
        </is>
      </c>
      <c r="F38" s="52" t="inlineStr">
        <is>
          <t>Health Checkup Bundles, Live B2C MRP &amp; B2B Rate Editor, Custom Test Popup, CSV Export</t>
        </is>
      </c>
      <c r="G38" s="47" t="inlineStr">
        <is>
          <t>Keep / Required (रखना है)</t>
        </is>
      </c>
      <c r="H38" s="53" t="n"/>
      <c r="I38" s="42">
        <f>IF(C38="","",D38&amp;" ➔ "&amp;C38&amp;" ["&amp;E38&amp;"]")</f>
        <v/>
      </c>
    </row>
    <row r="39" ht="34" customHeight="1" s="28">
      <c r="A39" s="45" t="n">
        <v>16</v>
      </c>
      <c r="B39" s="47" t="inlineStr">
        <is>
          <t>HR / Inventory / QC / Admin</t>
        </is>
      </c>
      <c r="C39" s="54" t="inlineStr">
        <is>
          <t>👥 Staff Salary, Attendance &amp; Daily Expense P&amp;L</t>
        </is>
      </c>
      <c r="D39" s="47" t="inlineStr">
        <is>
          <t>👥 HR, Staff Salary &amp; Expense P&amp;L</t>
        </is>
      </c>
      <c r="E39" s="47" t="inlineStr">
        <is>
          <t>Front Main Table / Card</t>
        </is>
      </c>
      <c r="F39" s="54" t="inlineStr">
        <is>
          <t>Present/Half-Day/Absent Toggle, ₹60/Pickup Rider Bonus, +₹500 Advance, Salary Slip, Expense P&amp;L</t>
        </is>
      </c>
      <c r="G39" s="47" t="inlineStr">
        <is>
          <t>Keep / Required (रखना है)</t>
        </is>
      </c>
      <c r="H39" s="53" t="n"/>
      <c r="I39" s="42">
        <f>IF(C39="","",D39&amp;" ➔ "&amp;C39&amp;" ["&amp;E39&amp;"]")</f>
        <v/>
      </c>
    </row>
    <row r="40" ht="34" customHeight="1" s="28">
      <c r="A40" s="45" t="n">
        <v>17</v>
      </c>
      <c r="B40" s="47" t="inlineStr">
        <is>
          <t>HR / Inventory / QC / Admin</t>
        </is>
      </c>
      <c r="C40" s="52" t="inlineStr">
        <is>
          <t>📦 Reagent &amp; Vacutainer Auto-Stock + JSON Backup</t>
        </is>
      </c>
      <c r="D40" s="47" t="inlineStr">
        <is>
          <t>📦 Inventory &amp; Home Pickup</t>
        </is>
      </c>
      <c r="E40" s="47" t="inlineStr">
        <is>
          <t>Front Main Table / Card</t>
        </is>
      </c>
      <c r="F40" s="52" t="inlineStr">
        <is>
          <t>Auto-Deduct Tubes on Reg, Low Stock Alert, +25 Restock, Full JSON Data Backup &amp; Restore</t>
        </is>
      </c>
      <c r="G40" s="47" t="inlineStr">
        <is>
          <t>Keep / Required (रखना है)</t>
        </is>
      </c>
      <c r="H40" s="53" t="n"/>
      <c r="I40" s="42">
        <f>IF(C40="","",D40&amp;" ➔ "&amp;C40&amp;" ["&amp;E40&amp;"]")</f>
        <v/>
      </c>
    </row>
    <row r="41" ht="34" customHeight="1" s="28">
      <c r="A41" s="45" t="n">
        <v>18</v>
      </c>
      <c r="B41" s="47" t="inlineStr">
        <is>
          <t>HR / Inventory / QC / Admin</t>
        </is>
      </c>
      <c r="C41" s="54" t="inlineStr">
        <is>
          <t>⚙️ AI Letterhead, Digital Sign &amp; Custom Columns</t>
        </is>
      </c>
      <c r="D41" s="47" t="inlineStr">
        <is>
          <t>⚙️ Lab Setup &amp; Super Admin</t>
        </is>
      </c>
      <c r="E41" s="47" t="inlineStr">
        <is>
          <t>Right Slide-Over Drawer</t>
        </is>
      </c>
      <c r="F41" s="54" t="inlineStr">
        <is>
          <t>No-Code Custom Column Builder, NABL Toggles, Draw/Auto Doctor Sign, Live Pad Preview</t>
        </is>
      </c>
      <c r="G41" s="47" t="inlineStr">
        <is>
          <t>Keep / Required (रखना है)</t>
        </is>
      </c>
      <c r="H41" s="53" t="n"/>
      <c r="I41" s="42">
        <f>IF(C41="","",D41&amp;" ➔ "&amp;C41&amp;" ["&amp;E41&amp;"]")</f>
        <v/>
      </c>
    </row>
    <row r="42" ht="34" customHeight="1" s="28">
      <c r="A42" s="45" t="n">
        <v>19</v>
      </c>
      <c r="B42" s="53" t="n"/>
      <c r="C42" s="55" t="n"/>
      <c r="D42" s="49" t="n"/>
      <c r="E42" s="53" t="n"/>
      <c r="F42" s="56" t="n"/>
      <c r="G42" s="49" t="n"/>
      <c r="H42" s="47" t="inlineStr">
        <is>
          <t>&lt;-- नया Sub-Feature जोड़ना हो तो यहाँ भरें</t>
        </is>
      </c>
      <c r="I42" s="42">
        <f>IF(C42="","",D42&amp;" ➔ "&amp;C42&amp;" ["&amp;E42&amp;"]")</f>
        <v/>
      </c>
    </row>
    <row r="43" ht="34" customHeight="1" s="28">
      <c r="A43" s="45" t="n">
        <v>20</v>
      </c>
      <c r="B43" s="53" t="n"/>
      <c r="C43" s="57" t="n"/>
      <c r="D43" s="49" t="n"/>
      <c r="E43" s="53" t="n"/>
      <c r="F43" s="58" t="n"/>
      <c r="G43" s="49" t="n"/>
      <c r="H43" s="47" t="inlineStr">
        <is>
          <t>&lt;-- नया Sub-Feature जोड़ना हो तो यहाँ भरें</t>
        </is>
      </c>
      <c r="I43" s="42">
        <f>IF(C43="","",D43&amp;" ➔ "&amp;C43&amp;" ["&amp;E43&amp;"]")</f>
        <v/>
      </c>
    </row>
    <row r="44" ht="34" customHeight="1" s="28">
      <c r="A44" s="45" t="n">
        <v>21</v>
      </c>
      <c r="B44" s="53" t="n"/>
      <c r="C44" s="55" t="n"/>
      <c r="D44" s="49" t="n"/>
      <c r="E44" s="53" t="n"/>
      <c r="F44" s="56" t="n"/>
      <c r="G44" s="49" t="n"/>
      <c r="H44" s="47" t="inlineStr">
        <is>
          <t>&lt;-- नया Sub-Feature जोड़ना हो तो यहाँ भरें</t>
        </is>
      </c>
      <c r="I44" s="42">
        <f>IF(C44="","",D44&amp;" ➔ "&amp;C44&amp;" ["&amp;E44&amp;"]")</f>
        <v/>
      </c>
    </row>
    <row r="45" ht="34" customHeight="1" s="28">
      <c r="A45" s="45" t="n">
        <v>22</v>
      </c>
      <c r="B45" s="53" t="n"/>
      <c r="C45" s="57" t="n"/>
      <c r="D45" s="49" t="n"/>
      <c r="E45" s="53" t="n"/>
      <c r="F45" s="58" t="n"/>
      <c r="G45" s="49" t="n"/>
      <c r="H45" s="47" t="inlineStr">
        <is>
          <t>&lt;-- नया Sub-Feature जोड़ना हो तो यहाँ भरें</t>
        </is>
      </c>
      <c r="I45" s="42">
        <f>IF(C45="","",D45&amp;" ➔ "&amp;C45&amp;" ["&amp;E45&amp;"]")</f>
        <v/>
      </c>
    </row>
    <row r="46" ht="34" customHeight="1" s="28">
      <c r="A46" s="45" t="n">
        <v>23</v>
      </c>
      <c r="B46" s="53" t="n"/>
      <c r="C46" s="55" t="n"/>
      <c r="D46" s="49" t="n"/>
      <c r="E46" s="53" t="n"/>
      <c r="F46" s="56" t="n"/>
      <c r="G46" s="49" t="n"/>
      <c r="H46" s="47" t="inlineStr">
        <is>
          <t>&lt;-- नया Sub-Feature जोड़ना हो तो यहाँ भरें</t>
        </is>
      </c>
      <c r="I46" s="42">
        <f>IF(C46="","",D46&amp;" ➔ "&amp;C46&amp;" ["&amp;E46&amp;"]")</f>
        <v/>
      </c>
    </row>
    <row r="47" ht="34" customHeight="1" s="28">
      <c r="A47" s="45" t="n">
        <v>24</v>
      </c>
      <c r="B47" s="53" t="n"/>
      <c r="C47" s="57" t="n"/>
      <c r="D47" s="49" t="n"/>
      <c r="E47" s="53" t="n"/>
      <c r="F47" s="58" t="n"/>
      <c r="G47" s="49" t="n"/>
      <c r="H47" s="47" t="inlineStr">
        <is>
          <t>&lt;-- नया Sub-Feature जोड़ना हो तो यहाँ भरें</t>
        </is>
      </c>
      <c r="I47" s="42">
        <f>IF(C47="","",D47&amp;" ➔ "&amp;C47&amp;" ["&amp;E47&amp;"]")</f>
        <v/>
      </c>
    </row>
  </sheetData>
  <mergeCells count="17">
    <mergeCell ref="A4:B4"/>
    <mergeCell ref="E4:F4"/>
    <mergeCell ref="E6:F6"/>
    <mergeCell ref="C6:D6"/>
    <mergeCell ref="A2:I2"/>
    <mergeCell ref="G6:I6"/>
    <mergeCell ref="G5:I5"/>
    <mergeCell ref="C5:D5"/>
    <mergeCell ref="A5:B5"/>
    <mergeCell ref="A1:I1"/>
    <mergeCell ref="E5:F5"/>
    <mergeCell ref="G4:I4"/>
    <mergeCell ref="A8:I8"/>
    <mergeCell ref="A3:I3"/>
    <mergeCell ref="A22:I22"/>
    <mergeCell ref="A6:B6"/>
    <mergeCell ref="C4:D4"/>
  </mergeCells>
  <conditionalFormatting sqref="F10:F19">
    <cfRule type="cellIs" rank="0" priority="2" equalAverage="0" operator="equal" aboveAverage="0" dxfId="0" text="" percent="0" bottom="0">
      <formula>"Keep / Required (रखना है)"</formula>
    </cfRule>
    <cfRule type="cellIs" rank="0" priority="3" equalAverage="0" operator="equal" aboveAverage="0" dxfId="1" text="" percent="0" bottom="0">
      <formula>"Modify / Move (बदलना है)"</formula>
    </cfRule>
    <cfRule type="cellIs" rank="0" priority="4" equalAverage="0" operator="equal" aboveAverage="0" dxfId="2" text="" percent="0" bottom="0">
      <formula>"Remove / Hide (हटाना है)"</formula>
    </cfRule>
    <cfRule type="cellIs" rank="0" priority="5" equalAverage="0" operator="equal" aboveAverage="0" dxfId="3" text="" percent="0" bottom="0">
      <formula>"New Feature (नया जोड़ना है)"</formula>
    </cfRule>
  </conditionalFormatting>
  <conditionalFormatting sqref="G24:G47">
    <cfRule type="cellIs" rank="0" priority="6" equalAverage="0" operator="equal" aboveAverage="0" dxfId="0" text="" percent="0" bottom="0">
      <formula>"Keep / Required (रखना है)"</formula>
    </cfRule>
    <cfRule type="cellIs" rank="0" priority="7" equalAverage="0" operator="equal" aboveAverage="0" dxfId="1" text="" percent="0" bottom="0">
      <formula>"Modify / Move (बदलना है)"</formula>
    </cfRule>
    <cfRule type="cellIs" rank="0" priority="8" equalAverage="0" operator="equal" aboveAverage="0" dxfId="2" text="" percent="0" bottom="0">
      <formula>"Remove / Hide (हटाना है)"</formula>
    </cfRule>
    <cfRule type="cellIs" rank="0" priority="9" equalAverage="0" operator="equal" aboveAverage="0" dxfId="3" text="" percent="0" bottom="0">
      <formula>"New Feature (नया जोड़ना है)"</formula>
    </cfRule>
  </conditionalFormatting>
  <dataValidations count="6">
    <dataValidation sqref="D10:D19" showDropDown="0" showInputMessage="0" showErrorMessage="0" allowBlank="1" type="list" errorStyle="stop" operator="between">
      <formula1>3_Dropdown_Master_Lists!$A$3:$A$7</formula1>
      <formula2>0</formula2>
    </dataValidation>
    <dataValidation sqref="E10:E19" showDropDown="0" showInputMessage="0" showErrorMessage="0" allowBlank="1" type="list" errorStyle="stop" operator="between">
      <formula1>3_Dropdown_Master_Lists!$E$3:$E$8</formula1>
      <formula2>0</formula2>
    </dataValidation>
    <dataValidation sqref="F10:F19 G24:G47" showDropDown="0" showInputMessage="0" showErrorMessage="0" allowBlank="1" type="list" errorStyle="stop" operator="between">
      <formula1>3_Dropdown_Master_Lists!$C$3:$C$6</formula1>
      <formula2>0</formula2>
    </dataValidation>
    <dataValidation sqref="B24:B47" showDropDown="0" showInputMessage="0" showErrorMessage="0" allowBlank="1" type="list" errorStyle="stop" operator="between">
      <formula1>3_Dropdown_Master_Lists!$D$3:$D$8</formula1>
      <formula2>0</formula2>
    </dataValidation>
    <dataValidation sqref="D24:D47" showDropDown="0" showInputMessage="0" showErrorMessage="0" allowBlank="1" type="list" errorStyle="stop" operator="between">
      <formula1>$C$10:$C$19</formula1>
      <formula2>0</formula2>
    </dataValidation>
    <dataValidation sqref="E24:E47" showDropDown="0" showInputMessage="0" showErrorMessage="0" allowBlank="1" type="list" errorStyle="stop" operator="between">
      <formula1>3_Dropdown_Master_Lists!$B$3:$B$8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0F6B78"/>
    <outlinePr summaryBelow="1" summaryRight="1"/>
    <pageSetUpPr fitToPage="1"/>
  </sheetPr>
  <dimension ref="A1:H30"/>
  <sheetViews>
    <sheetView showFormulas="0" showGridLines="0" showRowColHeaders="1" showZeros="1" rightToLeft="0" tabSelected="0" showOutlineSymbols="1" defaultGridColor="1" view="normal" topLeftCell="A1" colorId="64" zoomScale="75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7" customWidth="1" style="34" min="1" max="8"/>
    <col width="27" customWidth="1" style="28" min="2" max="2"/>
    <col width="27" customWidth="1" style="28" min="3" max="3"/>
    <col width="27" customWidth="1" style="28" min="4" max="4"/>
    <col width="27" customWidth="1" style="28" min="5" max="5"/>
    <col width="27" customWidth="1" style="28" min="6" max="6"/>
    <col width="27" customWidth="1" style="28" min="7" max="7"/>
    <col width="27" customWidth="1" style="28" min="8" max="8"/>
  </cols>
  <sheetData>
    <row r="1" ht="27.75" customHeight="1" s="28">
      <c r="A1" s="44" t="inlineStr">
        <is>
          <t>VISUAL SCREEN WIREFRAME BOARD — DRAG &amp; DROP OR EDIT CELLS TO DESIGN YOUR EXACT SCREEN</t>
        </is>
      </c>
      <c r="B1" s="59" t="n"/>
      <c r="C1" s="59" t="n"/>
      <c r="D1" s="59" t="n"/>
      <c r="E1" s="59" t="n"/>
      <c r="F1" s="59" t="n"/>
      <c r="G1" s="59" t="n"/>
      <c r="H1" s="59" t="n"/>
    </row>
    <row r="2" ht="21.75" customHeight="1" s="28">
      <c r="A2" s="60" t="inlineStr">
        <is>
          <t>यह शीट आपके सॉफ्टवेयर की असली स्क्रीन जैसी दिखती है। आप किसी भी बॉक्स (Cell) को माउस से पकड़कर (Drag &amp; Drop) या Cut-Paste करके अपनी पसंद की जगह पर रख सकते हैं!</t>
        </is>
      </c>
      <c r="B2" s="59" t="n"/>
      <c r="C2" s="59" t="n"/>
      <c r="D2" s="59" t="n"/>
      <c r="E2" s="59" t="n"/>
      <c r="F2" s="59" t="n"/>
      <c r="G2" s="59" t="n"/>
      <c r="H2" s="59" t="n"/>
    </row>
    <row r="3" ht="36" customHeight="1" s="28">
      <c r="A3" s="61" t="inlineStr">
        <is>
          <t>Refined suggestion: CRM is an entry point and context layer, not a separate silo. Patient/Account/Order cards should deep-link into the same LIMS record with permissions checked.</t>
        </is>
      </c>
    </row>
    <row r="4" ht="19.5" customHeight="1" s="28">
      <c r="A4" s="44" t="inlineStr">
        <is>
          <t>ZONE 1: TOP HEADER BAR — MAIN TABS ORDER (इन्हें दाएं-बाएं Drag/Cut-Paste करें)</t>
        </is>
      </c>
      <c r="B4" s="59" t="n"/>
      <c r="C4" s="59" t="n"/>
      <c r="D4" s="59" t="n"/>
      <c r="E4" s="59" t="n"/>
      <c r="F4" s="59" t="n"/>
      <c r="G4" s="59" t="n"/>
      <c r="H4" s="59" t="n"/>
    </row>
    <row r="5" ht="27.75" customHeight="1" s="28">
      <c r="A5" s="62" t="inlineStr">
        <is>
          <t>1. 📊 Dashboard</t>
        </is>
      </c>
      <c r="B5" s="62" t="inlineStr">
        <is>
          <t>2. 🔬 Lab Operations</t>
        </is>
      </c>
      <c r="C5" s="62" t="inlineStr">
        <is>
          <t>3. 💼 Business &amp; B2B</t>
        </is>
      </c>
      <c r="D5" s="62" t="inlineStr">
        <is>
          <t>4. 🛡️ Quality Control</t>
        </is>
      </c>
      <c r="E5" s="62" t="inlineStr">
        <is>
          <t>5. 📦 Inventory</t>
        </is>
      </c>
      <c r="F5" s="62" t="inlineStr">
        <is>
          <t>6. 👥 HR &amp; Payroll</t>
        </is>
      </c>
      <c r="G5" s="62" t="inlineStr">
        <is>
          <t>7. ⚙️ Setup Drawer</t>
        </is>
      </c>
      <c r="H5" s="62" t="inlineStr">
        <is>
          <t>8. 🎙️ Zia AI Live</t>
        </is>
      </c>
    </row>
    <row r="6">
      <c r="A6" s="59" t="n"/>
      <c r="B6" s="59" t="n"/>
      <c r="C6" s="59" t="n"/>
      <c r="D6" s="59" t="n"/>
      <c r="E6" s="59" t="n"/>
      <c r="F6" s="59" t="n"/>
      <c r="G6" s="59" t="n"/>
      <c r="H6" s="59" t="n"/>
    </row>
    <row r="7" ht="19.5" customHeight="1" s="28">
      <c r="A7" s="63" t="inlineStr">
        <is>
          <t>ZONE 2: TOP KPI METRICS STRIP (ऊपर दिखने वाले 4 मुख्य बॉक्स — नाम बदलें)</t>
        </is>
      </c>
      <c r="B7" s="59" t="n"/>
      <c r="C7" s="59" t="n"/>
      <c r="D7" s="59" t="n"/>
      <c r="E7" s="59" t="n"/>
      <c r="F7" s="59" t="n"/>
      <c r="G7" s="59" t="n"/>
      <c r="H7" s="59" t="n"/>
    </row>
    <row r="8" ht="25.5" customHeight="1" s="28">
      <c r="A8" s="64" t="inlineStr">
        <is>
          <t>KPI 1: Total Samples Today (Walk-in &amp; CC)</t>
        </is>
      </c>
      <c r="B8" s="65" t="n"/>
      <c r="C8" s="64" t="inlineStr">
        <is>
          <t>KPI 2: Samples Pending (STAT Urgent Count)</t>
        </is>
      </c>
      <c r="D8" s="65" t="n"/>
      <c r="E8" s="64" t="inlineStr">
        <is>
          <t>KPI 3: Reports Verified (NABL Signed)</t>
        </is>
      </c>
      <c r="F8" s="65" t="n"/>
      <c r="G8" s="64" t="inlineStr">
        <is>
          <t>KPI 4: Today's Net Revenue (Paid vs Due)</t>
        </is>
      </c>
      <c r="H8" s="65" t="n"/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</row>
    <row r="10" ht="21.75" customHeight="1" s="28">
      <c r="A10" s="44" t="inlineStr">
        <is>
          <t>ZONE 3A: FRONT MAIN WORKSPACE (मुख्य स्क्रीन पर क्या-क्या दिखेगा)</t>
        </is>
      </c>
      <c r="B10" s="59" t="n"/>
      <c r="C10" s="59" t="n"/>
      <c r="D10" s="59" t="n"/>
      <c r="E10" s="59" t="n"/>
      <c r="F10" s="44" t="inlineStr">
        <is>
          <t>ZONE 3B: SLIDE-OVER DRAWERS &amp; POPUPS (क्लिक करने पर साइड या पॉपअप में क्या खुलेगा)</t>
        </is>
      </c>
      <c r="G10" s="59" t="n"/>
      <c r="H10" s="59" t="n"/>
    </row>
    <row r="11" ht="25.5" customHeight="1" s="28">
      <c r="A11" s="66" t="inlineStr">
        <is>
          <t>Stage Filter Bar</t>
        </is>
      </c>
      <c r="B11" s="64" t="inlineStr">
        <is>
          <t>1. All Stages</t>
        </is>
      </c>
      <c r="C11" s="64" t="inlineStr">
        <is>
          <t>2. Pre-Analytical</t>
        </is>
      </c>
      <c r="D11" s="64" t="inlineStr">
        <is>
          <t>3. Analytical (In-Lab)</t>
        </is>
      </c>
      <c r="E11" s="64" t="inlineStr">
        <is>
          <t>4. Post-Analytical</t>
        </is>
      </c>
      <c r="F11" s="66" t="inlineStr">
        <is>
          <t>DRAWER 1 (Right Side)</t>
        </is>
      </c>
      <c r="G11" s="67" t="inlineStr">
        <is>
          <t>➕ New Patient Reg &amp; Billing Form</t>
        </is>
      </c>
      <c r="H11" s="67" t="inlineStr">
        <is>
          <t>Title-&gt;Gender, Tests, Package, B2B/CC Bill</t>
        </is>
      </c>
    </row>
    <row r="12" ht="25.5" customHeight="1" s="28">
      <c r="A12" s="66" t="inlineStr">
        <is>
          <t>Quick Action Bar</t>
        </is>
      </c>
      <c r="B12" s="64" t="inlineStr">
        <is>
          <t>➕ Pt Reg Drawer</t>
        </is>
      </c>
      <c r="C12" s="64" t="inlineStr">
        <is>
          <t>🛵 Home Pickup Popup</t>
        </is>
      </c>
      <c r="D12" s="64" t="inlineStr">
        <is>
          <t>🌐 Outsource Popup</t>
        </is>
      </c>
      <c r="E12" s="64" t="inlineStr">
        <is>
          <t>🤖 Batch LIS Sync</t>
        </is>
      </c>
      <c r="F12" s="66" t="inlineStr">
        <is>
          <t>DRAWER 2 (Right Side)</t>
        </is>
      </c>
      <c r="G12" s="67" t="inlineStr">
        <is>
          <t>🔬 Test Result Entry &amp; Delta Check</t>
        </is>
      </c>
      <c r="H12" s="67" t="inlineStr">
        <is>
          <t>Machine LIS Sync, Normal Fill, Doctor Sign</t>
        </is>
      </c>
    </row>
    <row r="13" ht="25.5" customHeight="1" s="28">
      <c r="A13" s="66" t="inlineStr">
        <is>
          <t>Worklist Column 1</t>
        </is>
      </c>
      <c r="B13" s="64" t="inlineStr">
        <is>
          <t>Barcode &amp; Time</t>
        </is>
      </c>
      <c r="C13" s="64" t="inlineStr">
        <is>
          <t>SMP-1001, Col/Rcv Time</t>
        </is>
      </c>
      <c r="D13" s="64" t="inlineStr">
        <is>
          <t>Collection Mode</t>
        </is>
      </c>
      <c r="E13" s="64" t="inlineStr">
        <is>
          <t>STAT Badge</t>
        </is>
      </c>
      <c r="F13" s="66" t="inlineStr">
        <is>
          <t>DRAWER 3 (Right Side)</t>
        </is>
      </c>
      <c r="G13" s="67" t="inlineStr">
        <is>
          <t>💳 Smart Billing &amp; WA/SMS/Email</t>
        </is>
      </c>
      <c r="H13" s="67" t="inlineStr">
        <is>
          <t>Discount %, Cash Receipt, Patient/Dr WA</t>
        </is>
      </c>
    </row>
    <row r="14" ht="25.5" customHeight="1" s="28">
      <c r="A14" s="66" t="inlineStr">
        <is>
          <t>Worklist Column 2</t>
        </is>
      </c>
      <c r="B14" s="64" t="inlineStr">
        <is>
          <t>Patient &amp; Ref By</t>
        </is>
      </c>
      <c r="C14" s="64" t="inlineStr">
        <is>
          <t>Name, Age/Gender</t>
        </is>
      </c>
      <c r="D14" s="64" t="inlineStr">
        <is>
          <t>Mobile No.</t>
        </is>
      </c>
      <c r="E14" s="64" t="inlineStr">
        <is>
          <t>CC / Doctor Tag</t>
        </is>
      </c>
      <c r="F14" s="66" t="inlineStr">
        <is>
          <t>DRAWER 4 (Right Side)</t>
        </is>
      </c>
      <c r="G14" s="67" t="inlineStr">
        <is>
          <t>📱 Patient QR Health Pass Portal</t>
        </is>
      </c>
      <c r="H14" s="67" t="inlineStr">
        <is>
          <t>Biomarker Bars, Hindi Audio, PDF Download</t>
        </is>
      </c>
    </row>
    <row r="15" ht="25.5" customHeight="1" s="28">
      <c r="A15" s="66" t="inlineStr">
        <is>
          <t>Worklist Column 3</t>
        </is>
      </c>
      <c r="B15" s="64" t="inlineStr">
        <is>
          <t>Tests &amp; Vial Tubes</t>
        </is>
      </c>
      <c r="C15" s="64" t="inlineStr">
        <is>
          <t>CBC, Lipid, LFT...</t>
        </is>
      </c>
      <c r="D15" s="64" t="inlineStr">
        <is>
          <t>Purple/Yellow/Grey Vial</t>
        </is>
      </c>
      <c r="E15" s="64" t="inlineStr">
        <is>
          <t>Custom Admin Col</t>
        </is>
      </c>
      <c r="F15" s="66" t="inlineStr">
        <is>
          <t>DRAWER 5 (Right Side)</t>
        </is>
      </c>
      <c r="G15" s="67" t="inlineStr">
        <is>
          <t>⚙️ Lab Setup &amp; Super Admin Studio</t>
        </is>
      </c>
      <c r="H15" s="67" t="inlineStr">
        <is>
          <t>AI Letterhead, Digital Sign, Custom Columns</t>
        </is>
      </c>
    </row>
    <row r="16" ht="25.5" customHeight="1" s="28">
      <c r="A16" s="38" t="inlineStr">
        <is>
          <t>Worklist Column 4</t>
        </is>
      </c>
      <c r="B16" s="38" t="inlineStr">
        <is>
          <t>Billing &amp; Status</t>
        </is>
      </c>
      <c r="C16" s="38" t="inlineStr">
        <is>
          <t>Net Bill ₹ (B2C/B2B)</t>
        </is>
      </c>
      <c r="D16" s="38" t="inlineStr">
        <is>
          <t>Paid / Pending Toggle</t>
        </is>
      </c>
      <c r="E16" s="38" t="inlineStr">
        <is>
          <t>Pipeline Stage Badge</t>
        </is>
      </c>
      <c r="F16" s="38" t="inlineStr">
        <is>
          <t>POPUP 1 (Center Modal)</t>
        </is>
      </c>
      <c r="G16" s="38" t="inlineStr">
        <is>
          <t>🏷️ Barcode Sticker &amp; 🖨️ A4 Report</t>
        </is>
      </c>
      <c r="H16" s="38" t="inlineStr">
        <is>
          <t>Printable Vial Barcode &amp; NABL Report Pad</t>
        </is>
      </c>
    </row>
    <row r="17" ht="25.5" customHeight="1" s="28">
      <c r="A17" s="66" t="inlineStr">
        <is>
          <t>Worklist Column 5</t>
        </is>
      </c>
      <c r="B17" s="64" t="inlineStr">
        <is>
          <t>Row Action Buttons</t>
        </is>
      </c>
      <c r="C17" s="64" t="inlineStr">
        <is>
          <t>[🔬 Results]</t>
        </is>
      </c>
      <c r="D17" s="64" t="inlineStr">
        <is>
          <t>[💳 Bill &amp; WA]</t>
        </is>
      </c>
      <c r="E17" s="64" t="inlineStr">
        <is>
          <t>[🖨️ Report] [📱 QR]</t>
        </is>
      </c>
      <c r="F17" s="66" t="inlineStr">
        <is>
          <t>POPUP 2 (Center Modal)</t>
        </is>
      </c>
      <c r="G17" s="67" t="inlineStr">
        <is>
          <t>🛵 Home Pickup &amp; 🌐 Outsource Lab</t>
        </is>
      </c>
      <c r="H17" s="67" t="inlineStr">
        <is>
          <t>Quick Booking Modals without leaving page</t>
        </is>
      </c>
    </row>
    <row r="18">
      <c r="A18" s="59" t="n"/>
      <c r="B18" s="59" t="n"/>
      <c r="C18" s="59" t="n"/>
      <c r="D18" s="59" t="n"/>
      <c r="E18" s="59" t="n"/>
      <c r="F18" s="59" t="n"/>
      <c r="G18" s="59" t="n"/>
      <c r="H18" s="59" t="n"/>
    </row>
    <row r="19">
      <c r="A19" s="59" t="n"/>
      <c r="B19" s="59" t="n"/>
      <c r="C19" s="59" t="n"/>
      <c r="D19" s="59" t="n"/>
      <c r="E19" s="59" t="n"/>
      <c r="F19" s="59" t="n"/>
      <c r="G19" s="59" t="n"/>
      <c r="H19" s="59" t="n"/>
    </row>
    <row r="20">
      <c r="A20" s="59" t="n"/>
      <c r="B20" s="59" t="n"/>
      <c r="C20" s="59" t="n"/>
      <c r="D20" s="59" t="n"/>
      <c r="E20" s="59" t="n"/>
      <c r="F20" s="59" t="n"/>
      <c r="G20" s="59" t="n"/>
      <c r="H20" s="59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</row>
    <row r="23">
      <c r="A23" s="59" t="n"/>
      <c r="B23" s="59" t="n"/>
      <c r="C23" s="59" t="n"/>
      <c r="D23" s="59" t="n"/>
      <c r="E23" s="59" t="n"/>
      <c r="F23" s="59" t="n"/>
      <c r="G23" s="59" t="n"/>
      <c r="H23" s="59" t="n"/>
    </row>
    <row r="24" ht="21.75" customHeight="1" s="28">
      <c r="A24" s="68" t="inlineStr">
        <is>
          <t>ZONE 4: YOUR CUSTOM SKETCH / NOTES AREA (यहाँ किसी भी सेल में अपने हिसाब से नया बॉक्स या फ्लो लिखें)</t>
        </is>
      </c>
      <c r="B24" s="59" t="n"/>
      <c r="C24" s="59" t="n"/>
      <c r="D24" s="59" t="n"/>
      <c r="E24" s="59" t="n"/>
      <c r="F24" s="59" t="n"/>
      <c r="G24" s="59" t="n"/>
      <c r="H24" s="59" t="n"/>
    </row>
    <row r="25" ht="24" customHeight="1" s="28">
      <c r="A25" s="67" t="inlineStr">
        <is>
          <t>[उदाहरण: यहाँ लिखें कौन सा नया बटन कहाँ चाहिए...]</t>
        </is>
      </c>
      <c r="B25" s="69" t="n"/>
      <c r="C25" s="69" t="n"/>
      <c r="D25" s="69" t="n"/>
      <c r="E25" s="69" t="n"/>
      <c r="F25" s="69" t="n"/>
      <c r="G25" s="69" t="n"/>
      <c r="H25" s="69" t="n"/>
    </row>
    <row r="26" ht="24" customHeight="1" s="28">
      <c r="A26" s="69" t="n"/>
      <c r="B26" s="69" t="n"/>
      <c r="C26" s="69" t="n"/>
      <c r="D26" s="69" t="n"/>
      <c r="E26" s="69" t="n"/>
      <c r="F26" s="69" t="n"/>
      <c r="G26" s="69" t="n"/>
      <c r="H26" s="69" t="n"/>
    </row>
    <row r="27" ht="24" customHeight="1" s="28">
      <c r="A27" s="69" t="n"/>
      <c r="B27" s="69" t="n"/>
      <c r="C27" s="69" t="n"/>
      <c r="D27" s="69" t="n"/>
      <c r="E27" s="69" t="n"/>
      <c r="F27" s="69" t="n"/>
      <c r="G27" s="69" t="n"/>
      <c r="H27" s="69" t="n"/>
    </row>
    <row r="28" ht="24" customHeight="1" s="28">
      <c r="A28" s="69" t="n"/>
      <c r="B28" s="69" t="n"/>
      <c r="C28" s="69" t="n"/>
      <c r="D28" s="69" t="n"/>
      <c r="E28" s="69" t="n"/>
      <c r="F28" s="69" t="n"/>
      <c r="G28" s="69" t="n"/>
      <c r="H28" s="69" t="n"/>
    </row>
    <row r="29" ht="24" customHeight="1" s="28">
      <c r="A29" s="69" t="n"/>
      <c r="B29" s="69" t="n"/>
      <c r="C29" s="69" t="n"/>
      <c r="D29" s="69" t="n"/>
      <c r="E29" s="69" t="n"/>
      <c r="F29" s="69" t="n"/>
      <c r="G29" s="69" t="n"/>
      <c r="H29" s="69" t="n"/>
    </row>
    <row r="30" ht="24" customHeight="1" s="28">
      <c r="A30" s="69" t="n"/>
      <c r="B30" s="69" t="n"/>
      <c r="C30" s="69" t="n"/>
      <c r="D30" s="69" t="n"/>
      <c r="E30" s="69" t="n"/>
      <c r="F30" s="69" t="n"/>
      <c r="G30" s="69" t="n"/>
      <c r="H30" s="69" t="n"/>
    </row>
  </sheetData>
  <mergeCells count="12">
    <mergeCell ref="A4:H4"/>
    <mergeCell ref="F10:H10"/>
    <mergeCell ref="A3:H3"/>
    <mergeCell ref="A7:H7"/>
    <mergeCell ref="A10:E10"/>
    <mergeCell ref="A2:H2"/>
    <mergeCell ref="A24:H24"/>
    <mergeCell ref="A1:H1"/>
    <mergeCell ref="G8:H8"/>
    <mergeCell ref="A8:B8"/>
    <mergeCell ref="E8:F8"/>
    <mergeCell ref="C8:D8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70AD47"/>
    <outlinePr summaryBelow="1" summaryRight="1"/>
    <pageSetUpPr fitToPage="0"/>
  </sheetPr>
  <dimension ref="A1:J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6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4" min="1" max="5"/>
    <col width="22" customWidth="1" style="28" min="2" max="2"/>
    <col width="22" customWidth="1" style="28" min="3" max="3"/>
    <col width="22" customWidth="1" style="28" min="4" max="4"/>
    <col width="22" customWidth="1" style="28" min="5" max="5"/>
    <col width="28" customWidth="1" style="28" min="6" max="6"/>
    <col width="28" customWidth="1" style="28" min="7" max="7"/>
    <col width="28" customWidth="1" style="28" min="8" max="8"/>
    <col width="28" customWidth="1" style="28" min="9" max="9"/>
    <col width="28" customWidth="1" style="28" min="10" max="10"/>
  </cols>
  <sheetData>
    <row r="1" ht="25.5" customHeight="1" s="28">
      <c r="A1" s="70" t="inlineStr">
        <is>
          <t>MASTER DROPDOWN LISTS (यह शीट Dropdown लिस्ट को कंट्रोल करती है — आप यहाँ नए ऑप्शन जोड़ सकते हैं)</t>
        </is>
      </c>
      <c r="B1" s="43" t="n"/>
      <c r="C1" s="43" t="n"/>
      <c r="D1" s="43" t="n"/>
      <c r="E1" s="43" t="n"/>
    </row>
    <row r="2" ht="21.75" customHeight="1" s="28">
      <c r="A2" s="71" t="inlineStr">
        <is>
          <t>Screen Positions</t>
        </is>
      </c>
      <c r="B2" s="71" t="inlineStr">
        <is>
          <t>UI Opening Types</t>
        </is>
      </c>
      <c r="C2" s="71" t="inlineStr">
        <is>
          <t>Decision / Action Status</t>
        </is>
      </c>
      <c r="D2" s="71" t="inlineStr">
        <is>
          <t>Clinical Workflow Stages</t>
        </is>
      </c>
      <c r="E2" s="71" t="inlineStr">
        <is>
          <t>User Roles</t>
        </is>
      </c>
      <c r="F2" s="72" t="inlineStr">
        <is>
          <t>Accreditation Status</t>
        </is>
      </c>
      <c r="G2" s="72" t="inlineStr">
        <is>
          <t>Facility Type</t>
        </is>
      </c>
      <c r="H2" s="72" t="inlineStr">
        <is>
          <t>Module Scope</t>
        </is>
      </c>
      <c r="I2" s="72" t="inlineStr">
        <is>
          <t>Clinical Record Status</t>
        </is>
      </c>
      <c r="J2" s="72" t="inlineStr">
        <is>
          <t>Workflow Priority</t>
        </is>
      </c>
    </row>
    <row r="3" ht="19.5" customHeight="1" s="28">
      <c r="A3" s="73" t="inlineStr">
        <is>
          <t>Top Header Bar</t>
        </is>
      </c>
      <c r="B3" s="73" t="inlineStr">
        <is>
          <t>Front Main Table / Card</t>
        </is>
      </c>
      <c r="C3" s="73" t="inlineStr">
        <is>
          <t>Keep / Required (रखना है)</t>
        </is>
      </c>
      <c r="D3" s="73" t="inlineStr">
        <is>
          <t>Step 1: Pre-Analytical (Reg &amp; Bill)</t>
        </is>
      </c>
      <c r="E3" s="73" t="inlineStr">
        <is>
          <t>All Staff</t>
        </is>
      </c>
      <c r="F3" s="74" t="inlineStr">
        <is>
          <t>NABL accredited</t>
        </is>
      </c>
      <c r="G3" s="74" t="inlineStr">
        <is>
          <t>Main laboratory</t>
        </is>
      </c>
      <c r="H3" s="74" t="inlineStr">
        <is>
          <t>Universal core</t>
        </is>
      </c>
      <c r="I3" s="74" t="inlineStr">
        <is>
          <t>Draft</t>
        </is>
      </c>
      <c r="J3" s="74" t="inlineStr">
        <is>
          <t>Routine</t>
        </is>
      </c>
    </row>
    <row r="4" ht="19.5" customHeight="1" s="28">
      <c r="A4" s="73" t="inlineStr">
        <is>
          <t>Left Sidebar</t>
        </is>
      </c>
      <c r="B4" s="73" t="inlineStr">
        <is>
          <t>Sub-Tab Inside Page</t>
        </is>
      </c>
      <c r="C4" s="73" t="inlineStr">
        <is>
          <t>Modify / Move (बदलना है)</t>
        </is>
      </c>
      <c r="D4" s="73" t="inlineStr">
        <is>
          <t>Step 2: Lab Worklist &amp; Receiving</t>
        </is>
      </c>
      <c r="E4" s="73" t="inlineStr">
        <is>
          <t>Reception &amp; Billing</t>
        </is>
      </c>
      <c r="F4" s="33" t="inlineStr">
        <is>
          <t>Non-NABL</t>
        </is>
      </c>
      <c r="G4" s="33" t="inlineStr">
        <is>
          <t>Branch laboratory</t>
        </is>
      </c>
      <c r="H4" s="33" t="inlineStr">
        <is>
          <t>Core configurable</t>
        </is>
      </c>
      <c r="I4" s="33" t="inlineStr">
        <is>
          <t>Booked</t>
        </is>
      </c>
      <c r="J4" s="33" t="inlineStr">
        <is>
          <t>Urgent</t>
        </is>
      </c>
    </row>
    <row r="5" ht="19.5" customHeight="1" s="28">
      <c r="A5" s="73" t="inlineStr">
        <is>
          <t>Top Quick Action Button</t>
        </is>
      </c>
      <c r="B5" s="73" t="inlineStr">
        <is>
          <t>Right Slide-Over Drawer</t>
        </is>
      </c>
      <c r="C5" s="73" t="inlineStr">
        <is>
          <t>Remove / Hide (हटाना है)</t>
        </is>
      </c>
      <c r="D5" s="73" t="inlineStr">
        <is>
          <t>Step 3: Analytical &amp; Machine LIS</t>
        </is>
      </c>
      <c r="E5" s="73" t="inlineStr">
        <is>
          <t>Phlebotomist / Sample</t>
        </is>
      </c>
      <c r="F5" s="74" t="inlineStr">
        <is>
          <t>Other accreditation</t>
        </is>
      </c>
      <c r="G5" s="74" t="inlineStr">
        <is>
          <t>Collection center</t>
        </is>
      </c>
      <c r="H5" s="74" t="inlineStr">
        <is>
          <t>Optional</t>
        </is>
      </c>
      <c r="I5" s="74" t="inlineStr">
        <is>
          <t>Collected</t>
        </is>
      </c>
      <c r="J5" s="74" t="inlineStr">
        <is>
          <t>STAT</t>
        </is>
      </c>
    </row>
    <row r="6" ht="19.5" customHeight="1" s="28">
      <c r="A6" s="73" t="inlineStr">
        <is>
          <t>Floating Bottom-Right</t>
        </is>
      </c>
      <c r="B6" s="73" t="inlineStr">
        <is>
          <t>Center Popup Modal</t>
        </is>
      </c>
      <c r="C6" s="73" t="inlineStr">
        <is>
          <t>New Feature (नया जोड़ना है)</t>
        </is>
      </c>
      <c r="D6" s="73" t="inlineStr">
        <is>
          <t>Step 4: Post-Analytical &amp; Dispatch</t>
        </is>
      </c>
      <c r="E6" s="73" t="inlineStr">
        <is>
          <t>Lab Technician</t>
        </is>
      </c>
      <c r="F6" s="33" t="inlineStr">
        <is>
          <t>In progress</t>
        </is>
      </c>
      <c r="G6" s="33" t="inlineStr">
        <is>
          <t>Reference lab</t>
        </is>
      </c>
      <c r="H6" s="33" t="inlineStr">
        <is>
          <t>Future phase</t>
        </is>
      </c>
      <c r="I6" s="33" t="inlineStr">
        <is>
          <t>Received</t>
        </is>
      </c>
      <c r="J6" s="33" t="inlineStr">
        <is>
          <t>Critical</t>
        </is>
      </c>
    </row>
    <row r="7" ht="19.5" customHeight="1" s="28">
      <c r="A7" s="73" t="inlineStr">
        <is>
          <t>Hidden</t>
        </is>
      </c>
      <c r="B7" s="73" t="inlineStr">
        <is>
          <t>Top Quick Button</t>
        </is>
      </c>
      <c r="C7" s="75" t="n"/>
      <c r="D7" s="73" t="inlineStr">
        <is>
          <t>B2B / Outsource / Accounts</t>
        </is>
      </c>
      <c r="E7" s="73" t="inlineStr">
        <is>
          <t>Pathologist / Doctor</t>
        </is>
      </c>
      <c r="F7" s="74" t="inlineStr">
        <is>
          <t>Expired</t>
        </is>
      </c>
      <c r="G7" s="74" t="inlineStr">
        <is>
          <t>Hospital lab</t>
        </is>
      </c>
      <c r="I7" s="74" t="inlineStr">
        <is>
          <t>Accepted</t>
        </is>
      </c>
    </row>
    <row r="8" ht="19.5" customHeight="1" s="28">
      <c r="A8" s="75" t="n"/>
      <c r="B8" s="73" t="inlineStr">
        <is>
          <t>Bottom Floating Bar</t>
        </is>
      </c>
      <c r="C8" s="75" t="n"/>
      <c r="D8" s="73" t="inlineStr">
        <is>
          <t>HR / Inventory / QC / Admin</t>
        </is>
      </c>
      <c r="E8" s="73" t="inlineStr">
        <is>
          <t>Lab Owner / Admin</t>
        </is>
      </c>
      <c r="F8" s="33" t="inlineStr">
        <is>
          <t>Not applicable</t>
        </is>
      </c>
      <c r="G8" s="33" t="inlineStr">
        <is>
          <t>Point-of-care site</t>
        </is>
      </c>
      <c r="I8" s="33" t="inlineStr">
        <is>
          <t>Rejected</t>
        </is>
      </c>
    </row>
    <row r="9">
      <c r="I9" s="74" t="inlineStr">
        <is>
          <t>In process</t>
        </is>
      </c>
    </row>
    <row r="10">
      <c r="I10" s="33" t="inlineStr">
        <is>
          <t>Pending QC</t>
        </is>
      </c>
    </row>
    <row r="11">
      <c r="I11" s="74" t="inlineStr">
        <is>
          <t>QC hold</t>
        </is>
      </c>
    </row>
    <row r="12">
      <c r="I12" s="33" t="inlineStr">
        <is>
          <t>Technically validated</t>
        </is>
      </c>
    </row>
    <row r="13">
      <c r="I13" s="74" t="inlineStr">
        <is>
          <t>Authorized</t>
        </is>
      </c>
    </row>
    <row r="14">
      <c r="I14" s="33" t="inlineStr">
        <is>
          <t>Released</t>
        </is>
      </c>
    </row>
    <row r="15">
      <c r="I15" s="74" t="inlineStr">
        <is>
          <t>Amended</t>
        </is>
      </c>
    </row>
    <row r="16">
      <c r="I16" s="33" t="inlineStr">
        <is>
          <t>Archived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G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27" customWidth="1" style="28" min="2" max="2"/>
    <col width="22" customWidth="1" style="28" min="3" max="3"/>
    <col width="27" customWidth="1" style="28" min="4" max="4"/>
    <col width="55" customWidth="1" style="28" min="5" max="5"/>
    <col width="24" customWidth="1" style="28" min="6" max="6"/>
    <col width="58" customWidth="1" style="28" min="7" max="7"/>
  </cols>
  <sheetData>
    <row r="1" ht="32" customHeight="1" s="28">
      <c r="A1" s="76" t="inlineStr">
        <is>
          <t>PATHO-AI — Refined Navigation &amp; Module Architecture</t>
        </is>
      </c>
    </row>
    <row r="2" ht="32" customHeight="1" s="28">
      <c r="A2" s="36" t="inlineStr">
        <is>
          <t>Recommended product information architecture. Universal core vs optional modules is explicit; final scope should be configurable by facility, specialty, and accreditation.</t>
        </is>
      </c>
    </row>
    <row r="3" ht="34" customHeight="1" s="28">
      <c r="A3" s="77" t="inlineStr">
        <is>
          <t>Order</t>
        </is>
      </c>
      <c r="B3" s="77" t="inlineStr">
        <is>
          <t>Main navigation label</t>
        </is>
      </c>
      <c r="C3" s="77" t="inlineStr">
        <is>
          <t>UI placement</t>
        </is>
      </c>
      <c r="D3" s="77" t="inlineStr">
        <is>
          <t>Primary roles</t>
        </is>
      </c>
      <c r="E3" s="77" t="inlineStr">
        <is>
          <t>Sub-tabs / key capabilities</t>
        </is>
      </c>
      <c r="F3" s="77" t="inlineStr">
        <is>
          <t>Scope</t>
        </is>
      </c>
      <c r="G3" s="77" t="inlineStr">
        <is>
          <t>UX / control recommendation</t>
        </is>
      </c>
    </row>
    <row r="4" ht="38" customHeight="1" s="28">
      <c r="A4" s="78" t="inlineStr">
        <is>
          <t>01</t>
        </is>
      </c>
      <c r="B4" s="78" t="inlineStr">
        <is>
          <t>Home &amp; Command Center</t>
        </is>
      </c>
      <c r="C4" s="78" t="inlineStr">
        <is>
          <t>Top-level page</t>
        </is>
      </c>
      <c r="D4" s="78" t="inlineStr">
        <is>
          <t>All roles</t>
        </is>
      </c>
      <c r="E4" s="78" t="inlineStr">
        <is>
          <t>Role-based KPIs, overdue queues, alerts, recent activity, global search</t>
        </is>
      </c>
      <c r="F4" s="78" t="inlineStr">
        <is>
          <t>Universal core</t>
        </is>
      </c>
      <c r="G4" s="78" t="inlineStr">
        <is>
          <t>Keep as default landing page; widgets vary by role and facility</t>
        </is>
      </c>
    </row>
    <row r="5" ht="38" customHeight="1" s="28">
      <c r="A5" s="78" t="inlineStr">
        <is>
          <t>02</t>
        </is>
      </c>
      <c r="B5" s="78" t="inlineStr">
        <is>
          <t>CRM &amp; Relationships</t>
        </is>
      </c>
      <c r="C5" s="78" t="inlineStr">
        <is>
          <t>Top-level page</t>
        </is>
      </c>
      <c r="D5" s="78" t="inlineStr">
        <is>
          <t>Sales / Admin / Front desk</t>
        </is>
      </c>
      <c r="E5" s="78" t="inlineStr">
        <is>
          <t>Patients, referring doctors, clinics, hospitals, corporate clients, contracts, lead pipeline</t>
        </is>
      </c>
      <c r="F5" s="78" t="inlineStr">
        <is>
          <t>Universal core</t>
        </is>
      </c>
      <c r="G5" s="78" t="inlineStr">
        <is>
          <t>Patient and B2B client are separate entity types; link them through orders</t>
        </is>
      </c>
    </row>
    <row r="6" ht="38" customHeight="1" s="28">
      <c r="A6" s="78" t="inlineStr">
        <is>
          <t>03</t>
        </is>
      </c>
      <c r="B6" s="78" t="inlineStr">
        <is>
          <t>Orders &amp; Billing</t>
        </is>
      </c>
      <c r="C6" s="78" t="inlineStr">
        <is>
          <t>Top-level page</t>
        </is>
      </c>
      <c r="D6" s="78" t="inlineStr">
        <is>
          <t>Reception / Billing / Client portal</t>
        </is>
      </c>
      <c r="E6" s="78" t="inlineStr">
        <is>
          <t>Create order, price list, discounts, payment, credit, invoice, refunds, payer, home collection</t>
        </is>
      </c>
      <c r="F6" s="78" t="inlineStr">
        <is>
          <t>Universal core</t>
        </is>
      </c>
      <c r="G6" s="78" t="inlineStr">
        <is>
          <t>One order can contain multiple tests and specimens; support package panels</t>
        </is>
      </c>
    </row>
    <row r="7" ht="38" customHeight="1" s="28">
      <c r="A7" s="78" t="inlineStr">
        <is>
          <t>04</t>
        </is>
      </c>
      <c r="B7" s="78" t="inlineStr">
        <is>
          <t>Collection &amp; Accession</t>
        </is>
      </c>
      <c r="C7" s="78" t="inlineStr">
        <is>
          <t>Top-level page</t>
        </is>
      </c>
      <c r="D7" s="78" t="inlineStr">
        <is>
          <t>Phlebotomy / Accessioning</t>
        </is>
      </c>
      <c r="E7" s="78" t="inlineStr">
        <is>
          <t>Collection booking, barcode labels, pickup route, specimen receipt, accept/reject, recollect</t>
        </is>
      </c>
      <c r="F7" s="78" t="inlineStr">
        <is>
          <t>Universal core</t>
        </is>
      </c>
      <c r="G7" s="78" t="inlineStr">
        <is>
          <t>Hard stop on identity mismatch; rejection reasons and recollection are auditable</t>
        </is>
      </c>
    </row>
    <row r="8" ht="38" customHeight="1" s="28">
      <c r="A8" s="78" t="inlineStr">
        <is>
          <t>05</t>
        </is>
      </c>
      <c r="B8" s="78" t="inlineStr">
        <is>
          <t>Lab Operations</t>
        </is>
      </c>
      <c r="C8" s="78" t="inlineStr">
        <is>
          <t>Top-level page</t>
        </is>
      </c>
      <c r="D8" s="78" t="inlineStr">
        <is>
          <t>Lab technicians / Section leads</t>
        </is>
      </c>
      <c r="E8" s="78" t="inlineStr">
        <is>
          <t>Section worklists, aliquots, routing, analyzer queues, manual tests, reruns, TAT timers</t>
        </is>
      </c>
      <c r="F8" s="78" t="inlineStr">
        <is>
          <t>Universal core</t>
        </is>
      </c>
      <c r="G8" s="78" t="inlineStr">
        <is>
          <t>Worklists filtered by section, priority, instrument, due time and status</t>
        </is>
      </c>
    </row>
    <row r="9" ht="38" customHeight="1" s="28">
      <c r="A9" s="78" t="inlineStr">
        <is>
          <t>06</t>
        </is>
      </c>
      <c r="B9" s="78" t="inlineStr">
        <is>
          <t>Results &amp; Reporting</t>
        </is>
      </c>
      <c r="C9" s="78" t="inlineStr">
        <is>
          <t>Top-level page</t>
        </is>
      </c>
      <c r="D9" s="78" t="inlineStr">
        <is>
          <t>Technician / Pathologist</t>
        </is>
      </c>
      <c r="E9" s="78" t="inlineStr">
        <is>
          <t>Result entry, instrument import, delta checks, critical values, review, e-sign, release, corrected report</t>
        </is>
      </c>
      <c r="F9" s="78" t="inlineStr">
        <is>
          <t>Universal core</t>
        </is>
      </c>
      <c r="G9" s="78" t="inlineStr">
        <is>
          <t>Separate entry, technical validation, medical authorization and release permissions</t>
        </is>
      </c>
    </row>
    <row r="10" ht="38" customHeight="1" s="28">
      <c r="A10" s="78" t="inlineStr">
        <is>
          <t>07</t>
        </is>
      </c>
      <c r="B10" s="78" t="inlineStr">
        <is>
          <t>Quality &amp; Compliance</t>
        </is>
      </c>
      <c r="C10" s="78" t="inlineStr">
        <is>
          <t>Top-level page</t>
        </is>
      </c>
      <c r="D10" s="78" t="inlineStr">
        <is>
          <t>Quality manager / Authorized roles</t>
        </is>
      </c>
      <c r="E10" s="78" t="inlineStr">
        <is>
          <t>IQC, EQA/PT, nonconformance, CAPA, document control, competency, internal audit, risk register</t>
        </is>
      </c>
      <c r="F10" s="78" t="inlineStr">
        <is>
          <t>Core + configurable depth</t>
        </is>
      </c>
      <c r="G10" s="78" t="inlineStr">
        <is>
          <t>NABL accreditation status changes required controls and reports; never hide basic quality controls</t>
        </is>
      </c>
    </row>
    <row r="11" ht="38" customHeight="1" s="28">
      <c r="A11" s="78" t="inlineStr">
        <is>
          <t>08</t>
        </is>
      </c>
      <c r="B11" s="78" t="inlineStr">
        <is>
          <t>Inventory &amp; Procurement</t>
        </is>
      </c>
      <c r="C11" s="78" t="inlineStr">
        <is>
          <t>Top-level page</t>
        </is>
      </c>
      <c r="D11" s="78" t="inlineStr">
        <is>
          <t>Store / Section lead</t>
        </is>
      </c>
      <c r="E11" s="78" t="inlineStr">
        <is>
          <t>Reagents, lots, expiry, stock ledger, purchase requests, vendors, equipment, maintenance, calibration</t>
        </is>
      </c>
      <c r="F11" s="78" t="inlineStr">
        <is>
          <t>Core + configurable</t>
        </is>
      </c>
      <c r="G11" s="78" t="inlineStr">
        <is>
          <t>Lot/expiry and QC linkage recommended; enable advanced procurement as needed</t>
        </is>
      </c>
    </row>
    <row r="12" ht="38" customHeight="1" s="28">
      <c r="A12" s="78" t="inlineStr">
        <is>
          <t>09</t>
        </is>
      </c>
      <c r="B12" s="78" t="inlineStr">
        <is>
          <t>Finance &amp; Business</t>
        </is>
      </c>
      <c r="C12" s="78" t="inlineStr">
        <is>
          <t>Top-level page</t>
        </is>
      </c>
      <c r="D12" s="78" t="inlineStr">
        <is>
          <t>Owner / Finance / B2B</t>
        </is>
      </c>
      <c r="E12" s="78" t="inlineStr">
        <is>
          <t>Receivables, payouts, commissions, credit limits, profitability, client statements, GST exports</t>
        </is>
      </c>
      <c r="F12" s="78" t="inlineStr">
        <is>
          <t>Optional modules</t>
        </is>
      </c>
      <c r="G12" s="78" t="inlineStr">
        <is>
          <t>Keep accounting integrations separate from clinical result workflow</t>
        </is>
      </c>
    </row>
    <row r="13" ht="38" customHeight="1" s="28">
      <c r="A13" s="78" t="inlineStr">
        <is>
          <t>10</t>
        </is>
      </c>
      <c r="B13" s="78" t="inlineStr">
        <is>
          <t>People &amp; Access</t>
        </is>
      </c>
      <c r="C13" s="78" t="inlineStr">
        <is>
          <t>Top-level page</t>
        </is>
      </c>
      <c r="D13" s="78" t="inlineStr">
        <is>
          <t>Admin / HR / IT</t>
        </is>
      </c>
      <c r="E13" s="78" t="inlineStr">
        <is>
          <t>Users, roles, branches, shifts, attendance, training, competency, access reviews</t>
        </is>
      </c>
      <c r="F13" s="78" t="inlineStr">
        <is>
          <t>Core access; HR optional</t>
        </is>
      </c>
      <c r="G13" s="78" t="inlineStr">
        <is>
          <t>Do not implement security by Excel sheet protection alone</t>
        </is>
      </c>
    </row>
    <row r="14" ht="38" customHeight="1" s="28">
      <c r="A14" s="78" t="inlineStr">
        <is>
          <t>11</t>
        </is>
      </c>
      <c r="B14" s="78" t="inlineStr">
        <is>
          <t>Analytics &amp; TAT</t>
        </is>
      </c>
      <c r="C14" s="78" t="inlineStr">
        <is>
          <t>Top-level page</t>
        </is>
      </c>
      <c r="D14" s="78" t="inlineStr">
        <is>
          <t>Management / Section leads</t>
        </is>
      </c>
      <c r="E14" s="78" t="inlineStr">
        <is>
          <t>TAT by test/section/client, rejection rates, recollection, workload, revenue, quality trends</t>
        </is>
      </c>
      <c r="F14" s="78" t="inlineStr">
        <is>
          <t>Universal core</t>
        </is>
      </c>
      <c r="G14" s="78" t="inlineStr">
        <is>
          <t>Use defined metric glossary and filters for date, branch, modality, client</t>
        </is>
      </c>
    </row>
    <row r="15" ht="38" customHeight="1" s="28">
      <c r="A15" s="78" t="inlineStr">
        <is>
          <t>12</t>
        </is>
      </c>
      <c r="B15" s="78" t="inlineStr">
        <is>
          <t>Integrations &amp; Devices</t>
        </is>
      </c>
      <c r="C15" s="78" t="inlineStr">
        <is>
          <t>Top-level page</t>
        </is>
      </c>
      <c r="D15" s="78" t="inlineStr">
        <is>
          <t>IT / Admin</t>
        </is>
      </c>
      <c r="E15" s="78" t="inlineStr">
        <is>
          <t>Analyzer interfaces, barcode printers, LIS/EMR, HL7/FHIR, SMS/email/WhatsApp provider, APIs, retry queue</t>
        </is>
      </c>
      <c r="F15" s="78" t="inlineStr">
        <is>
          <t>Optional/configurable</t>
        </is>
      </c>
      <c r="G15" s="78" t="inlineStr">
        <is>
          <t>Log interface errors and make failed messages replayable with audit trail</t>
        </is>
      </c>
    </row>
    <row r="16" ht="38" customHeight="1" s="28">
      <c r="A16" s="78" t="inlineStr">
        <is>
          <t>13</t>
        </is>
      </c>
      <c r="B16" s="78" t="inlineStr">
        <is>
          <t>Configuration &amp; Catalog</t>
        </is>
      </c>
      <c r="C16" s="78" t="inlineStr">
        <is>
          <t>Top-level page</t>
        </is>
      </c>
      <c r="D16" s="78" t="inlineStr">
        <is>
          <t>Authorized admin</t>
        </is>
      </c>
      <c r="E16" s="78" t="inlineStr">
        <is>
          <t>Test catalog, panels, specimen rules, containers, methods, units, reference intervals, TAT, price lists, SOP mapping</t>
        </is>
      </c>
      <c r="F16" s="78" t="inlineStr">
        <is>
          <t>Universal core</t>
        </is>
      </c>
      <c r="G16" s="78" t="inlineStr">
        <is>
          <t>Version configuration; effective dates and approvals for clinical catalog changes</t>
        </is>
      </c>
    </row>
    <row r="17" ht="38" customHeight="1" s="28">
      <c r="A17" s="78" t="inlineStr">
        <is>
          <t>14</t>
        </is>
      </c>
      <c r="B17" s="78" t="inlineStr">
        <is>
          <t>Audit &amp; Security</t>
        </is>
      </c>
      <c r="C17" s="78" t="inlineStr">
        <is>
          <t>Top-level page</t>
        </is>
      </c>
      <c r="D17" s="78" t="inlineStr">
        <is>
          <t>Auditor / Admin / Quality</t>
        </is>
      </c>
      <c r="E17" s="78" t="inlineStr">
        <is>
          <t>Audit events, access logs, report access, export logs, retention, consent/privacy controls</t>
        </is>
      </c>
      <c r="F17" s="78" t="inlineStr">
        <is>
          <t>Universal core</t>
        </is>
      </c>
      <c r="G17" s="78" t="inlineStr">
        <is>
          <t>Immutable event trail for create/edit/approve/release/correct actions</t>
        </is>
      </c>
    </row>
    <row r="18" ht="38" customHeight="1" s="28">
      <c r="A18" s="78" t="inlineStr">
        <is>
          <t>15</t>
        </is>
      </c>
      <c r="B18" s="78" t="inlineStr">
        <is>
          <t>AI Copilot</t>
        </is>
      </c>
      <c r="C18" s="78" t="inlineStr">
        <is>
          <t>Contextual assistant panel</t>
        </is>
      </c>
      <c r="D18" s="78" t="inlineStr">
        <is>
          <t>Permitted roles</t>
        </is>
      </c>
      <c r="E18" s="78" t="inlineStr">
        <is>
          <t>Search, summarize queues, draft operational insights, explain flags, help navigate</t>
        </is>
      </c>
      <c r="F18" s="78" t="inlineStr">
        <is>
          <t>Optional enhancement</t>
        </is>
      </c>
      <c r="G18" s="78" t="inlineStr">
        <is>
          <t>AI must not autonomously authorize or release clinical results; show sources and confirmation gates</t>
        </is>
      </c>
    </row>
  </sheetData>
  <autoFilter ref="A3:G18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style="28" min="1" max="1"/>
    <col width="25" customWidth="1" style="28" min="2" max="2"/>
    <col width="25" customWidth="1" style="28" min="3" max="3"/>
    <col width="55" customWidth="1" style="28" min="4" max="4"/>
    <col width="38" customWidth="1" style="28" min="5" max="5"/>
    <col width="28" customWidth="1" style="28" min="6" max="6"/>
    <col width="58" customWidth="1" style="28" min="7" max="7"/>
  </cols>
  <sheetData>
    <row r="1" ht="32" customHeight="1" s="28">
      <c r="A1" s="76" t="inlineStr">
        <is>
          <t>CRM → LIMS — Clickflows &amp; Interaction Contracts</t>
        </is>
      </c>
    </row>
    <row r="2" ht="32" customHeight="1" s="28">
      <c r="A2" s="36" t="inlineStr">
        <is>
          <t>Design around contextual deep links. In production, use stable record IDs and authorization checks; do not rely on Excel row/cell positions as record identity.</t>
        </is>
      </c>
    </row>
    <row r="3" ht="34" customHeight="1" s="28">
      <c r="A3" s="77" t="inlineStr">
        <is>
          <t>Entry point</t>
        </is>
      </c>
      <c r="B3" s="77" t="inlineStr">
        <is>
          <t>User action</t>
        </is>
      </c>
      <c r="C3" s="77" t="inlineStr">
        <is>
          <t>Context key</t>
        </is>
      </c>
      <c r="D3" s="77" t="inlineStr">
        <is>
          <t>Target journey</t>
        </is>
      </c>
      <c r="E3" s="77" t="inlineStr">
        <is>
          <t>Context shown</t>
        </is>
      </c>
      <c r="F3" s="77" t="inlineStr">
        <is>
          <t>Allowed roles</t>
        </is>
      </c>
      <c r="G3" s="77" t="inlineStr">
        <is>
          <t>UX / safety rule</t>
        </is>
      </c>
    </row>
    <row r="4" ht="38" customHeight="1" s="28">
      <c r="A4" s="78" t="inlineStr">
        <is>
          <t>CRM / Patient profile</t>
        </is>
      </c>
      <c r="B4" s="78" t="inlineStr">
        <is>
          <t>Open LIMS workspace</t>
        </is>
      </c>
      <c r="C4" s="78" t="inlineStr">
        <is>
          <t>Patient ID</t>
        </is>
      </c>
      <c r="D4" s="78" t="inlineStr">
        <is>
          <t>Patient 360 → Orders → Samples → Results timeline</t>
        </is>
      </c>
      <c r="E4" s="78" t="inlineStr">
        <is>
          <t>Patient identity + order history</t>
        </is>
      </c>
      <c r="F4" s="78" t="inlineStr">
        <is>
          <t>All authorized staff</t>
        </is>
      </c>
      <c r="G4" s="78" t="inlineStr">
        <is>
          <t>Open record in same app, new tab or side drawer; preserve filters and return path</t>
        </is>
      </c>
    </row>
    <row r="5" ht="38" customHeight="1" s="28">
      <c r="A5" s="78" t="inlineStr">
        <is>
          <t>B2B Client / Referrer profile</t>
        </is>
      </c>
      <c r="B5" s="78" t="inlineStr">
        <is>
          <t>Open account workspace</t>
        </is>
      </c>
      <c r="C5" s="78" t="inlineStr">
        <is>
          <t>Client ID / Referrer ID</t>
        </is>
      </c>
      <c r="D5" s="78" t="inlineStr">
        <is>
          <t>Account → Contracts / Price list → Orders → TAT &amp; billing</t>
        </is>
      </c>
      <c r="E5" s="78" t="inlineStr">
        <is>
          <t>Account performance and service issues</t>
        </is>
      </c>
      <c r="F5" s="78" t="inlineStr">
        <is>
          <t>Sales / Admin / Finance</t>
        </is>
      </c>
      <c r="G5" s="78" t="inlineStr">
        <is>
          <t>Never expose patient details beyond role and purpose</t>
        </is>
      </c>
    </row>
    <row r="6" ht="38" customHeight="1" s="28">
      <c r="A6" s="78" t="inlineStr">
        <is>
          <t>Order card</t>
        </is>
      </c>
      <c r="B6" s="78" t="inlineStr">
        <is>
          <t>Open order details</t>
        </is>
      </c>
      <c r="C6" s="78" t="inlineStr">
        <is>
          <t>Order ID</t>
        </is>
      </c>
      <c r="D6" s="78" t="inlineStr">
        <is>
          <t>Order → ordered tests → payment/credit → specimen status → worklist</t>
        </is>
      </c>
      <c r="E6" s="78" t="inlineStr">
        <is>
          <t>One order may have multiple tests and samples</t>
        </is>
      </c>
      <c r="F6" s="78" t="inlineStr">
        <is>
          <t>Reception / Billing / Lab</t>
        </is>
      </c>
      <c r="G6" s="78" t="inlineStr">
        <is>
          <t>Deep link must use immutable ID, not row number or spreadsheet cell</t>
        </is>
      </c>
    </row>
    <row r="7" ht="38" customHeight="1" s="28">
      <c r="A7" s="78" t="inlineStr">
        <is>
          <t>Sample card / barcode scan</t>
        </is>
      </c>
      <c r="B7" s="78" t="inlineStr">
        <is>
          <t>Open specimen lifecycle</t>
        </is>
      </c>
      <c r="C7" s="78" t="inlineStr">
        <is>
          <t>Sample ID / Accession ID</t>
        </is>
      </c>
      <c r="D7" s="78" t="inlineStr">
        <is>
          <t>Collected → Received → Accepted/Rejected → Aliquot → Routed → Stored/Disposed</t>
        </is>
      </c>
      <c r="E7" s="78" t="inlineStr">
        <is>
          <t>Chain of custody and rejection reason</t>
        </is>
      </c>
      <c r="F7" s="78" t="inlineStr">
        <is>
          <t>Collection / Accession / Lab</t>
        </is>
      </c>
      <c r="G7" s="78" t="inlineStr">
        <is>
          <t>Scan-first workflow; show mismatch, leakage, insufficient volume and stability warnings</t>
        </is>
      </c>
    </row>
    <row r="8" ht="38" customHeight="1" s="28">
      <c r="A8" s="78" t="inlineStr">
        <is>
          <t>Lab worklist item</t>
        </is>
      </c>
      <c r="B8" s="78" t="inlineStr">
        <is>
          <t>Open bench workspace</t>
        </is>
      </c>
      <c r="C8" s="78" t="inlineStr">
        <is>
          <t>Worklist Item ID</t>
        </is>
      </c>
      <c r="D8" s="78" t="inlineStr">
        <is>
          <t>Queue → method/instrument → run → QC gate → result entry</t>
        </is>
      </c>
      <c r="E8" s="78" t="inlineStr">
        <is>
          <t>Assigned technician, section, priority, due time</t>
        </is>
      </c>
      <c r="F8" s="78" t="inlineStr">
        <is>
          <t>Technician / Section lead</t>
        </is>
      </c>
      <c r="G8" s="78" t="inlineStr">
        <is>
          <t>Batch actions allowed only for safe, reversible actions; log all changes</t>
        </is>
      </c>
    </row>
    <row r="9" ht="38" customHeight="1" s="28">
      <c r="A9" s="78" t="inlineStr">
        <is>
          <t>Result row</t>
        </is>
      </c>
      <c r="B9" s="78" t="inlineStr">
        <is>
          <t>Open result review</t>
        </is>
      </c>
      <c r="C9" s="78" t="inlineStr">
        <is>
          <t>Result ID / Order ID</t>
        </is>
      </c>
      <c r="D9" s="78" t="inlineStr">
        <is>
          <t>Entry → technical validation → pathologist authorization → release → delivery</t>
        </is>
      </c>
      <c r="E9" s="78" t="inlineStr">
        <is>
          <t>Flags, reference interval, delta/critical values</t>
        </is>
      </c>
      <c r="F9" s="78" t="inlineStr">
        <is>
          <t>Technician / Pathologist</t>
        </is>
      </c>
      <c r="G9" s="78" t="inlineStr">
        <is>
          <t>Two-person review where policy requires; released reports need correction/version workflow</t>
        </is>
      </c>
    </row>
    <row r="10" ht="38" customHeight="1" s="28">
      <c r="A10" s="78" t="inlineStr">
        <is>
          <t>QC alert</t>
        </is>
      </c>
      <c r="B10" s="78" t="inlineStr">
        <is>
          <t>Open quality event</t>
        </is>
      </c>
      <c r="C10" s="78" t="inlineStr">
        <is>
          <t>QC Event ID</t>
        </is>
      </c>
      <c r="D10" s="78" t="inlineStr">
        <is>
          <t>QC failure → hold affected tests → investigate → corrective action → release hold</t>
        </is>
      </c>
      <c r="E10" s="78" t="inlineStr">
        <is>
          <t>Affected lot, instrument, run, tests</t>
        </is>
      </c>
      <c r="F10" s="78" t="inlineStr">
        <is>
          <t>Quality / Section lead</t>
        </is>
      </c>
      <c r="G10" s="78" t="inlineStr">
        <is>
          <t>Block result release when a required QC rule fails</t>
        </is>
      </c>
    </row>
    <row r="11" ht="38" customHeight="1" s="28">
      <c r="A11" s="78" t="inlineStr">
        <is>
          <t>Invoice / receivable</t>
        </is>
      </c>
      <c r="B11" s="78" t="inlineStr">
        <is>
          <t>Open finance drawer</t>
        </is>
      </c>
      <c r="C11" s="78" t="inlineStr">
        <is>
          <t>Invoice ID / Client ID</t>
        </is>
      </c>
      <c r="D11" s="78" t="inlineStr">
        <is>
          <t>Invoice → payments → outstanding → statement / credit note</t>
        </is>
      </c>
      <c r="E11" s="78" t="inlineStr">
        <is>
          <t>Payer, GST fields, contract rate</t>
        </is>
      </c>
      <c r="F11" s="78" t="inlineStr">
        <is>
          <t>Finance / Admin</t>
        </is>
      </c>
      <c r="G11" s="78" t="inlineStr">
        <is>
          <t>Finance status must not overwrite clinical status</t>
        </is>
      </c>
    </row>
    <row r="12" ht="38" customHeight="1" s="28">
      <c r="A12" s="78" t="inlineStr">
        <is>
          <t>Global search</t>
        </is>
      </c>
      <c r="B12" s="78" t="inlineStr">
        <is>
          <t>Open matching entity</t>
        </is>
      </c>
      <c r="C12" s="78" t="inlineStr">
        <is>
          <t>Patient / Order / Sample / Invoice ID</t>
        </is>
      </c>
      <c r="D12" s="78" t="inlineStr">
        <is>
          <t>Search results grouped by entity and permission</t>
        </is>
      </c>
      <c r="E12" s="78" t="inlineStr">
        <is>
          <t>Exact IDs and typo-tolerant name search</t>
        </is>
      </c>
      <c r="F12" s="78" t="inlineStr">
        <is>
          <t>All roles</t>
        </is>
      </c>
      <c r="G12" s="78" t="inlineStr">
        <is>
          <t>Mask sensitive fields and filter results by branch and permissions</t>
        </is>
      </c>
    </row>
    <row r="13" ht="38" customHeight="1" s="28">
      <c r="A13" s="78" t="inlineStr">
        <is>
          <t>AI Copilot suggestion</t>
        </is>
      </c>
      <c r="B13" s="78" t="inlineStr">
        <is>
          <t>Preview and confirm action</t>
        </is>
      </c>
      <c r="C13" s="78" t="inlineStr">
        <is>
          <t>Context + proposed action</t>
        </is>
      </c>
      <c r="D13" s="78" t="inlineStr">
        <is>
          <t>Explain → preview affected records → user confirms → execute → audit</t>
        </is>
      </c>
      <c r="E13" s="78" t="inlineStr">
        <is>
          <t>No autonomous clinical authorization</t>
        </is>
      </c>
      <c r="F13" s="78" t="inlineStr">
        <is>
          <t>Permitted roles</t>
        </is>
      </c>
      <c r="G13" s="78" t="inlineStr">
        <is>
          <t>Read-only by default; require explicit confirmation for writes and never release results</t>
        </is>
      </c>
    </row>
  </sheetData>
  <autoFilter ref="A3:G13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F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style="28" min="1" max="1"/>
    <col width="25" customWidth="1" style="28" min="2" max="2"/>
    <col width="49" customWidth="1" style="28" min="3" max="3"/>
    <col width="34" customWidth="1" style="28" min="4" max="4"/>
    <col width="28" customWidth="1" style="28" min="5" max="5"/>
    <col width="55" customWidth="1" style="28" min="6" max="6"/>
  </cols>
  <sheetData>
    <row r="1" ht="32" customHeight="1" s="28">
      <c r="A1" s="76" t="inlineStr">
        <is>
          <t>Clinical Workflow &amp; State Transitions</t>
        </is>
      </c>
    </row>
    <row r="2" ht="32" customHeight="1" s="28">
      <c r="A2" s="36" t="inlineStr">
        <is>
          <t>Workflow gates are illustrative and must be configured against each lab's approved SOPs, specialty, test menu, and applicable requirements.</t>
        </is>
      </c>
    </row>
    <row r="3" ht="34" customHeight="1" s="28">
      <c r="A3" s="77" t="inlineStr">
        <is>
          <t>Stage</t>
        </is>
      </c>
      <c r="B3" s="77" t="inlineStr">
        <is>
          <t>Workflow step</t>
        </is>
      </c>
      <c r="C3" s="77" t="inlineStr">
        <is>
          <t>Entry checks / data captured</t>
        </is>
      </c>
      <c r="D3" s="77" t="inlineStr">
        <is>
          <t>Allowed states</t>
        </is>
      </c>
      <c r="E3" s="77" t="inlineStr">
        <is>
          <t>Owner</t>
        </is>
      </c>
      <c r="F3" s="77" t="inlineStr">
        <is>
          <t>Blocking rule / audit requirement</t>
        </is>
      </c>
    </row>
    <row r="4" ht="38" customHeight="1" s="28">
      <c r="A4" s="78" t="inlineStr">
        <is>
          <t>Pre-analytical</t>
        </is>
      </c>
      <c r="B4" s="78" t="inlineStr">
        <is>
          <t>Order created</t>
        </is>
      </c>
      <c r="C4" s="78" t="inlineStr">
        <is>
          <t>Patient verified; tests and payer selected</t>
        </is>
      </c>
      <c r="D4" s="78" t="inlineStr">
        <is>
          <t>Booked / Awaiting collection</t>
        </is>
      </c>
      <c r="E4" s="78" t="inlineStr">
        <is>
          <t>Reception / Portal</t>
        </is>
      </c>
      <c r="F4" s="78" t="inlineStr">
        <is>
          <t>Missing demographics, duplicate order, unavailable test</t>
        </is>
      </c>
    </row>
    <row r="5" ht="38" customHeight="1" s="28">
      <c r="A5" s="78" t="inlineStr">
        <is>
          <t>Pre-analytical</t>
        </is>
      </c>
      <c r="B5" s="78" t="inlineStr">
        <is>
          <t>Collection</t>
        </is>
      </c>
      <c r="C5" s="78" t="inlineStr">
        <is>
          <t>Two identifiers; collector and time captured</t>
        </is>
      </c>
      <c r="D5" s="78" t="inlineStr">
        <is>
          <t>Collected / Collection exception</t>
        </is>
      </c>
      <c r="E5" s="78" t="inlineStr">
        <is>
          <t>Phlebotomy</t>
        </is>
      </c>
      <c r="F5" s="78" t="inlineStr">
        <is>
          <t>Identity mismatch, collection instructions, fasting/prep note</t>
        </is>
      </c>
    </row>
    <row r="6" ht="38" customHeight="1" s="28">
      <c r="A6" s="78" t="inlineStr">
        <is>
          <t>Pre-analytical</t>
        </is>
      </c>
      <c r="B6" s="78" t="inlineStr">
        <is>
          <t>Accession</t>
        </is>
      </c>
      <c r="C6" s="78" t="inlineStr">
        <is>
          <t>Barcode scan; specimen type, container, volume and condition checked</t>
        </is>
      </c>
      <c r="D6" s="78" t="inlineStr">
        <is>
          <t>Accepted / Rejected / Pending clarification</t>
        </is>
      </c>
      <c r="E6" s="78" t="inlineStr">
        <is>
          <t>Accessioning</t>
        </is>
      </c>
      <c r="F6" s="78" t="inlineStr">
        <is>
          <t>No silent acceptance on mismatch; rejection reason mandatory</t>
        </is>
      </c>
    </row>
    <row r="7" ht="38" customHeight="1" s="28">
      <c r="A7" s="78" t="inlineStr">
        <is>
          <t>Pre-analytical</t>
        </is>
      </c>
      <c r="B7" s="78" t="inlineStr">
        <is>
          <t>Aliquot &amp; route</t>
        </is>
      </c>
      <c r="C7" s="78" t="inlineStr">
        <is>
          <t>Parent-child sample relationships; stability and destination checked</t>
        </is>
      </c>
      <c r="D7" s="78" t="inlineStr">
        <is>
          <t>In process / Routed / Stored</t>
        </is>
      </c>
      <c r="E7" s="78" t="inlineStr">
        <is>
          <t>Accessioning / Lab</t>
        </is>
      </c>
      <c r="F7" s="78" t="inlineStr">
        <is>
          <t>Track aliquot genealogy and custody events</t>
        </is>
      </c>
    </row>
    <row r="8" ht="38" customHeight="1" s="28">
      <c r="A8" s="78" t="inlineStr">
        <is>
          <t>Analytical</t>
        </is>
      </c>
      <c r="B8" s="78" t="inlineStr">
        <is>
          <t>Worklist assignment</t>
        </is>
      </c>
      <c r="C8" s="78" t="inlineStr">
        <is>
          <t>Test method, section, instrument and priority resolved</t>
        </is>
      </c>
      <c r="D8" s="78" t="inlineStr">
        <is>
          <t>Queued / Assigned</t>
        </is>
      </c>
      <c r="E8" s="78" t="inlineStr">
        <is>
          <t>Section lead / Rules engine</t>
        </is>
      </c>
      <c r="F8" s="78" t="inlineStr">
        <is>
          <t>Do not queue tests if required specimen or QC prerequisites fail</t>
        </is>
      </c>
    </row>
    <row r="9" ht="38" customHeight="1" s="28">
      <c r="A9" s="78" t="inlineStr">
        <is>
          <t>Analytical</t>
        </is>
      </c>
      <c r="B9" s="78" t="inlineStr">
        <is>
          <t>Run &amp; capture</t>
        </is>
      </c>
      <c r="C9" s="78" t="inlineStr">
        <is>
          <t>Instrument result or manual entry with units and operator</t>
        </is>
      </c>
      <c r="D9" s="78" t="inlineStr">
        <is>
          <t>Result pending validation / Rerun</t>
        </is>
      </c>
      <c r="E9" s="78" t="inlineStr">
        <is>
          <t>Technician</t>
        </is>
      </c>
      <c r="F9" s="78" t="inlineStr">
        <is>
          <t>Record instrument, reagent lot, run ID and timestamps where applicable</t>
        </is>
      </c>
    </row>
    <row r="10" ht="38" customHeight="1" s="28">
      <c r="A10" s="78" t="inlineStr">
        <is>
          <t>Analytical</t>
        </is>
      </c>
      <c r="B10" s="78" t="inlineStr">
        <is>
          <t>QC gate</t>
        </is>
      </c>
      <c r="C10" s="78" t="inlineStr">
        <is>
          <t>Applicable IQC rules pass or documented authorized disposition</t>
        </is>
      </c>
      <c r="D10" s="78" t="inlineStr">
        <is>
          <t>QC pass / QC hold</t>
        </is>
      </c>
      <c r="E10" s="78" t="inlineStr">
        <is>
          <t>Technician / Quality</t>
        </is>
      </c>
      <c r="F10" s="78" t="inlineStr">
        <is>
          <t>QC failure holds affected results according to policy</t>
        </is>
      </c>
    </row>
    <row r="11" ht="38" customHeight="1" s="28">
      <c r="A11" s="78" t="inlineStr">
        <is>
          <t>Post-analytical</t>
        </is>
      </c>
      <c r="B11" s="78" t="inlineStr">
        <is>
          <t>Technical validation</t>
        </is>
      </c>
      <c r="C11" s="78" t="inlineStr">
        <is>
          <t>Range/flags, delta checks, plausibility, completeness</t>
        </is>
      </c>
      <c r="D11" s="78" t="inlineStr">
        <is>
          <t>Technically validated / Query / Rerun</t>
        </is>
      </c>
      <c r="E11" s="78" t="inlineStr">
        <is>
          <t>Authorized technical reviewer</t>
        </is>
      </c>
      <c r="F11" s="78" t="inlineStr">
        <is>
          <t>Abnormal flags route to defined review queue</t>
        </is>
      </c>
    </row>
    <row r="12" ht="38" customHeight="1" s="28">
      <c r="A12" s="78" t="inlineStr">
        <is>
          <t>Post-analytical</t>
        </is>
      </c>
      <c r="B12" s="78" t="inlineStr">
        <is>
          <t>Medical authorization</t>
        </is>
      </c>
      <c r="C12" s="78" t="inlineStr">
        <is>
          <t>Pathologist/authorized signer reviews and signs</t>
        </is>
      </c>
      <c r="D12" s="78" t="inlineStr">
        <is>
          <t>Authorized / Held</t>
        </is>
      </c>
      <c r="E12" s="78" t="inlineStr">
        <is>
          <t>Pathologist</t>
        </is>
      </c>
      <c r="F12" s="78" t="inlineStr">
        <is>
          <t>Role and specialty authorization required</t>
        </is>
      </c>
    </row>
    <row r="13" ht="38" customHeight="1" s="28">
      <c r="A13" s="78" t="inlineStr">
        <is>
          <t>Post-analytical</t>
        </is>
      </c>
      <c r="B13" s="78" t="inlineStr">
        <is>
          <t>Release &amp; delivery</t>
        </is>
      </c>
      <c r="C13" s="78" t="inlineStr">
        <is>
          <t>Release version, recipient, delivery channel and timestamp recorded</t>
        </is>
      </c>
      <c r="D13" s="78" t="inlineStr">
        <is>
          <t>Released / Delivery failed</t>
        </is>
      </c>
      <c r="E13" s="78" t="inlineStr">
        <is>
          <t>Authorized role / System</t>
        </is>
      </c>
      <c r="F13" s="78" t="inlineStr">
        <is>
          <t>Corrections create a new version and notify relevant recipients</t>
        </is>
      </c>
    </row>
    <row r="14" ht="38" customHeight="1" s="28">
      <c r="A14" s="78" t="inlineStr">
        <is>
          <t>Post-analytical</t>
        </is>
      </c>
      <c r="B14" s="78" t="inlineStr">
        <is>
          <t>Archive / retention</t>
        </is>
      </c>
      <c r="C14" s="78" t="inlineStr">
        <is>
          <t>Retention rule, storage location, disposal approval</t>
        </is>
      </c>
      <c r="D14" s="78" t="inlineStr">
        <is>
          <t>Archived / Disposed per policy</t>
        </is>
      </c>
      <c r="E14" s="78" t="inlineStr">
        <is>
          <t>Quality / Admin</t>
        </is>
      </c>
      <c r="F14" s="78" t="inlineStr">
        <is>
          <t>Retention and disposal rules are facility-configurable</t>
        </is>
      </c>
    </row>
    <row r="15" ht="38" customHeight="1" s="28">
      <c r="A15" s="78" t="inlineStr">
        <is>
          <t>Exception</t>
        </is>
      </c>
      <c r="B15" s="78" t="inlineStr">
        <is>
          <t>Critical result</t>
        </is>
      </c>
      <c r="C15" s="78" t="inlineStr">
        <is>
          <t>Critical value rule matches; recipient and acknowledgement captured</t>
        </is>
      </c>
      <c r="D15" s="78" t="inlineStr">
        <is>
          <t>Escalated / Acknowledged / Closed</t>
        </is>
      </c>
      <c r="E15" s="78" t="inlineStr">
        <is>
          <t>Authorized staff</t>
        </is>
      </c>
      <c r="F15" s="78" t="inlineStr">
        <is>
          <t>Record attempt, time, recipient, acknowledgement and escalation</t>
        </is>
      </c>
    </row>
    <row r="16" ht="38" customHeight="1" s="28">
      <c r="A16" s="78" t="inlineStr">
        <is>
          <t>Exception</t>
        </is>
      </c>
      <c r="B16" s="78" t="inlineStr">
        <is>
          <t>Amended report</t>
        </is>
      </c>
      <c r="C16" s="78" t="inlineStr">
        <is>
          <t>Reason, old/new version, approver and notifications captured</t>
        </is>
      </c>
      <c r="D16" s="78" t="inlineStr">
        <is>
          <t>Amended / Re-delivered</t>
        </is>
      </c>
      <c r="E16" s="78" t="inlineStr">
        <is>
          <t>Pathologist / Admin</t>
        </is>
      </c>
      <c r="F16" s="78" t="inlineStr">
        <is>
          <t>Never silently overwrite a released report</t>
        </is>
      </c>
    </row>
  </sheetData>
  <autoFilter ref="A3:F16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style="28" min="1" max="1"/>
    <col width="54" customWidth="1" style="28" min="2" max="2"/>
    <col width="62" customWidth="1" style="28" min="3" max="3"/>
    <col width="38" customWidth="1" style="28" min="4" max="4"/>
    <col width="35" customWidth="1" style="28" min="5" max="5"/>
  </cols>
  <sheetData>
    <row r="1" ht="32" customHeight="1" s="28">
      <c r="A1" s="76" t="inlineStr">
        <is>
          <t>Role-Based Access &amp; Separation of Duties</t>
        </is>
      </c>
    </row>
    <row r="2" ht="32" customHeight="1" s="28">
      <c r="A2" s="36" t="inlineStr">
        <is>
          <t>Use least privilege, facility/branch/section scope, and auditable overrides. Spreadsheet protection is not an adequate production security boundary.</t>
        </is>
      </c>
    </row>
    <row r="3" ht="34" customHeight="1" s="28">
      <c r="A3" s="77" t="inlineStr">
        <is>
          <t>Role</t>
        </is>
      </c>
      <c r="B3" s="77" t="inlineStr">
        <is>
          <t>Allowed capabilities</t>
        </is>
      </c>
      <c r="C3" s="77" t="inlineStr">
        <is>
          <t>Restrictions / separation of duties</t>
        </is>
      </c>
      <c r="D3" s="77" t="inlineStr">
        <is>
          <t>Main modules</t>
        </is>
      </c>
      <c r="E3" s="77" t="inlineStr">
        <is>
          <t>Scope rule</t>
        </is>
      </c>
      <c r="F3" s="77" t="n"/>
    </row>
    <row r="4" ht="38" customHeight="1" s="28">
      <c r="A4" s="78" t="inlineStr">
        <is>
          <t>Reception / Front Desk</t>
        </is>
      </c>
      <c r="B4" s="78" t="inlineStr">
        <is>
          <t>Patient registration, order entry, appointments, collection booking, invoice initiation</t>
        </is>
      </c>
      <c r="C4" s="78" t="inlineStr">
        <is>
          <t>No result editing or release; limited demographics correction with audit</t>
        </is>
      </c>
      <c r="D4" s="78" t="inlineStr">
        <is>
          <t>Patient, Order, Collection, Billing</t>
        </is>
      </c>
      <c r="E4" s="78" t="inlineStr">
        <is>
          <t>Branch-scoped</t>
        </is>
      </c>
      <c r="F4" s="79" t="n"/>
    </row>
    <row r="5" ht="38" customHeight="1" s="28">
      <c r="A5" s="78" t="inlineStr">
        <is>
          <t>Phlebotomist / Collector</t>
        </is>
      </c>
      <c r="B5" s="78" t="inlineStr">
        <is>
          <t>Collection, barcode printing, collection exceptions, custody handoff</t>
        </is>
      </c>
      <c r="C5" s="78" t="inlineStr">
        <is>
          <t>No test result entry or report authorization</t>
        </is>
      </c>
      <c r="D5" s="78" t="inlineStr">
        <is>
          <t>Collection, Sample custody</t>
        </is>
      </c>
      <c r="E5" s="78" t="inlineStr">
        <is>
          <t>Assigned route / branch</t>
        </is>
      </c>
      <c r="F5" s="79" t="n"/>
    </row>
    <row r="6" ht="38" customHeight="1" s="28">
      <c r="A6" s="78" t="inlineStr">
        <is>
          <t>Accessioning Staff</t>
        </is>
      </c>
      <c r="B6" s="78" t="inlineStr">
        <is>
          <t>Receive, accept/reject, aliquot, route specimens</t>
        </is>
      </c>
      <c r="C6" s="78" t="inlineStr">
        <is>
          <t>Cannot bypass mandatory specimen rejection rules without authorized override</t>
        </is>
      </c>
      <c r="D6" s="78" t="inlineStr">
        <is>
          <t>Sample, Aliquot, Routing</t>
        </is>
      </c>
      <c r="E6" s="78" t="inlineStr">
        <is>
          <t>Assigned facility / section</t>
        </is>
      </c>
      <c r="F6" s="79" t="n"/>
    </row>
    <row r="7" ht="38" customHeight="1" s="28">
      <c r="A7" s="78" t="inlineStr">
        <is>
          <t>Lab Technician</t>
        </is>
      </c>
      <c r="B7" s="78" t="inlineStr">
        <is>
          <t>Worklists, instrument run, manual result entry, rerun request</t>
        </is>
      </c>
      <c r="C7" s="78" t="inlineStr">
        <is>
          <t>Cannot medically authorize or release unless separately authorized</t>
        </is>
      </c>
      <c r="D7" s="78" t="inlineStr">
        <is>
          <t>Worklist, Run, Result draft</t>
        </is>
      </c>
      <c r="E7" s="78" t="inlineStr">
        <is>
          <t>Assigned section</t>
        </is>
      </c>
      <c r="F7" s="79" t="n"/>
    </row>
    <row r="8" ht="38" customHeight="1" s="28">
      <c r="A8" s="78" t="inlineStr">
        <is>
          <t>Section Lead</t>
        </is>
      </c>
      <c r="B8" s="78" t="inlineStr">
        <is>
          <t>Queue assignment, technical review, reruns, section QC oversight</t>
        </is>
      </c>
      <c r="C8" s="78" t="inlineStr">
        <is>
          <t>Overrides require reason; no self-approval where policy prohibits</t>
        </is>
      </c>
      <c r="D8" s="78" t="inlineStr">
        <is>
          <t>Worklist, QC, Technical validation</t>
        </is>
      </c>
      <c r="E8" s="78" t="inlineStr">
        <is>
          <t>Section-scoped</t>
        </is>
      </c>
      <c r="F8" s="79" t="n"/>
    </row>
    <row r="9" ht="38" customHeight="1" s="28">
      <c r="A9" s="78" t="inlineStr">
        <is>
          <t>Pathologist / Authorized Signer</t>
        </is>
      </c>
      <c r="B9" s="78" t="inlineStr">
        <is>
          <t>Medical review, authorization, critical result oversight, report correction</t>
        </is>
      </c>
      <c r="C9" s="78" t="inlineStr">
        <is>
          <t>Only authorized specialty/credential; released result corrections versioned</t>
        </is>
      </c>
      <c r="D9" s="78" t="inlineStr">
        <is>
          <t>Result authorization, Report</t>
        </is>
      </c>
      <c r="E9" s="78" t="inlineStr">
        <is>
          <t>Credential + facility scope</t>
        </is>
      </c>
      <c r="F9" s="79" t="n"/>
    </row>
    <row r="10" ht="38" customHeight="1" s="28">
      <c r="A10" s="78" t="inlineStr">
        <is>
          <t>Quality Manager</t>
        </is>
      </c>
      <c r="B10" s="78" t="inlineStr">
        <is>
          <t>QC/EQA, deviations, CAPA, SOP/document control, audits</t>
        </is>
      </c>
      <c r="C10" s="78" t="inlineStr">
        <is>
          <t>Cannot change clinical results without clinical permission</t>
        </is>
      </c>
      <c r="D10" s="78" t="inlineStr">
        <is>
          <t>Quality, Document control, Audit</t>
        </is>
      </c>
      <c r="E10" s="78" t="inlineStr">
        <is>
          <t>Facility / network scope</t>
        </is>
      </c>
      <c r="F10" s="79" t="n"/>
    </row>
    <row r="11" ht="38" customHeight="1" s="28">
      <c r="A11" s="78" t="inlineStr">
        <is>
          <t>Billing / Finance</t>
        </is>
      </c>
      <c r="B11" s="78" t="inlineStr">
        <is>
          <t>Invoices, payments, credit notes, receivables, client statements</t>
        </is>
      </c>
      <c r="C11" s="78" t="inlineStr">
        <is>
          <t>No clinical result editing; refunds/credit notes need approval policy</t>
        </is>
      </c>
      <c r="D11" s="78" t="inlineStr">
        <is>
          <t>Billing, Finance</t>
        </is>
      </c>
      <c r="E11" s="78" t="inlineStr">
        <is>
          <t>Branch/client scope</t>
        </is>
      </c>
      <c r="F11" s="79" t="n"/>
    </row>
    <row r="12" ht="38" customHeight="1" s="28">
      <c r="A12" s="78" t="inlineStr">
        <is>
          <t>B2B Relationship Manager</t>
        </is>
      </c>
      <c r="B12" s="78" t="inlineStr">
        <is>
          <t>Clinics, hospitals, contracts, price lists, service issues, lead pipeline</t>
        </is>
      </c>
      <c r="C12" s="78" t="inlineStr">
        <is>
          <t>Patient-level clinical details only where authorized and necessary</t>
        </is>
      </c>
      <c r="D12" s="78" t="inlineStr">
        <is>
          <t>CRM, Accounts, Contracts</t>
        </is>
      </c>
      <c r="E12" s="78" t="inlineStr">
        <is>
          <t>Assigned accounts</t>
        </is>
      </c>
      <c r="F12" s="79" t="n"/>
    </row>
    <row r="13" ht="38" customHeight="1" s="28">
      <c r="A13" s="78" t="inlineStr">
        <is>
          <t>Branch Manager</t>
        </is>
      </c>
      <c r="B13" s="78" t="inlineStr">
        <is>
          <t>Branch KPIs, staffing, operations, business and quality overview</t>
        </is>
      </c>
      <c r="C13" s="78" t="inlineStr">
        <is>
          <t>Sensitive clinical actions remain permission-gated</t>
        </is>
      </c>
      <c r="D13" s="78" t="inlineStr">
        <is>
          <t>Dashboard, Branch operations</t>
        </is>
      </c>
      <c r="E13" s="78" t="inlineStr">
        <is>
          <t>Assigned branches</t>
        </is>
      </c>
      <c r="F13" s="79" t="n"/>
    </row>
    <row r="14" ht="38" customHeight="1" s="28">
      <c r="A14" s="78" t="inlineStr">
        <is>
          <t>System Administrator / IT</t>
        </is>
      </c>
      <c r="B14" s="78" t="inlineStr">
        <is>
          <t>Users, roles, facilities, integrations, device configuration</t>
        </is>
      </c>
      <c r="C14" s="78" t="inlineStr">
        <is>
          <t>No default clinical authorization; privileged actions audited</t>
        </is>
      </c>
      <c r="D14" s="78" t="inlineStr">
        <is>
          <t>Setup, Integrations, Access logs</t>
        </is>
      </c>
      <c r="E14" s="78" t="inlineStr">
        <is>
          <t>Tenant / authorized facility</t>
        </is>
      </c>
      <c r="F14" s="79" t="n"/>
    </row>
    <row r="15" ht="38" customHeight="1" s="28">
      <c r="A15" s="78" t="inlineStr">
        <is>
          <t>External Doctor / Client Portal</t>
        </is>
      </c>
      <c r="B15" s="78" t="inlineStr">
        <is>
          <t>Place orders where enabled, track own orders, view released reports</t>
        </is>
      </c>
      <c r="C15" s="78" t="inlineStr">
        <is>
          <t>Only own/authorized patients and released reports; no internal QC or draft results</t>
        </is>
      </c>
      <c r="D15" s="78" t="inlineStr">
        <is>
          <t>Portal, Orders, Reports</t>
        </is>
      </c>
      <c r="E15" s="78" t="inlineStr">
        <is>
          <t>Explicit account relationship</t>
        </is>
      </c>
      <c r="F15" s="79" t="n"/>
    </row>
    <row r="16" ht="38" customHeight="1" s="28">
      <c r="A16" s="78" t="inlineStr">
        <is>
          <t>Auditor / Read-only Reviewer</t>
        </is>
      </c>
      <c r="B16" s="78" t="inlineStr">
        <is>
          <t>Approved reports, logs, compliance evidence and analytics</t>
        </is>
      </c>
      <c r="C16" s="78" t="inlineStr">
        <is>
          <t>Read-only; exports logged; sensitive fields masked by policy</t>
        </is>
      </c>
      <c r="D16" s="78" t="inlineStr">
        <is>
          <t>Audit, Quality, Analytics</t>
        </is>
      </c>
      <c r="E16" s="78" t="inlineStr">
        <is>
          <t>Time-bound / scoped access</t>
        </is>
      </c>
      <c r="F16" s="79" t="n"/>
    </row>
  </sheetData>
  <autoFilter ref="A3:E16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F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style="28" min="1" max="1"/>
    <col width="58" customWidth="1" style="28" min="2" max="2"/>
    <col width="26" customWidth="1" style="28" min="3" max="3"/>
    <col width="47" customWidth="1" style="28" min="4" max="4"/>
    <col width="30" customWidth="1" style="28" min="5" max="5"/>
    <col width="58" customWidth="1" style="28" min="6" max="6"/>
  </cols>
  <sheetData>
    <row r="1" ht="32" customHeight="1" s="28">
      <c r="A1" s="76" t="inlineStr">
        <is>
          <t>Facility, NABL &amp; Non-NABL Configuration</t>
        </is>
      </c>
    </row>
    <row r="2" ht="32" customHeight="1" s="28">
      <c r="A2" s="36" t="inlineStr">
        <is>
          <t>Assumption: the voice transcription 'NEV/non-NEV' may mean 'NABL/non-NABL'. Confirm the terminology with the product owner. Keep accreditation configurable per facility and scope.</t>
        </is>
      </c>
    </row>
    <row r="3" ht="34" customHeight="1" s="28">
      <c r="A3" s="77" t="inlineStr">
        <is>
          <t>Configuration area</t>
        </is>
      </c>
      <c r="B3" s="77" t="inlineStr">
        <is>
          <t>Fields / settings</t>
        </is>
      </c>
      <c r="C3" s="77" t="inlineStr">
        <is>
          <t>Baseline</t>
        </is>
      </c>
      <c r="D3" s="77" t="inlineStr">
        <is>
          <t>Example options</t>
        </is>
      </c>
      <c r="E3" s="77" t="inlineStr">
        <is>
          <t>Applies at</t>
        </is>
      </c>
      <c r="F3" s="77" t="inlineStr">
        <is>
          <t>Design / compliance note</t>
        </is>
      </c>
    </row>
    <row r="4" ht="38" customHeight="1" s="28">
      <c r="A4" s="78" t="inlineStr">
        <is>
          <t>Facility profile</t>
        </is>
      </c>
      <c r="B4" s="78" t="inlineStr">
        <is>
          <t>Facility ID, name, type, address, timezone, active status</t>
        </is>
      </c>
      <c r="C4" s="78" t="inlineStr">
        <is>
          <t>Required</t>
        </is>
      </c>
      <c r="D4" s="78" t="inlineStr">
        <is>
          <t>Network / branch / collection center / reference lab</t>
        </is>
      </c>
      <c r="E4" s="78" t="inlineStr">
        <is>
          <t>All deployments</t>
        </is>
      </c>
      <c r="F4" s="78" t="inlineStr">
        <is>
          <t>Master data; immutable facility ID</t>
        </is>
      </c>
    </row>
    <row r="5" ht="38" customHeight="1" s="28">
      <c r="A5" s="78" t="inlineStr">
        <is>
          <t>Accreditation profile</t>
        </is>
      </c>
      <c r="B5" s="78" t="inlineStr">
        <is>
          <t>Accreditation status, standard, scope, certificate ID, valid-from/to, authorized signatory</t>
        </is>
      </c>
      <c r="C5" s="78" t="inlineStr">
        <is>
          <t>Required configuration</t>
        </is>
      </c>
      <c r="D5" s="78" t="inlineStr">
        <is>
          <t>NABL / non-NABL / other / in progress / expired</t>
        </is>
      </c>
      <c r="E5" s="78" t="inlineStr">
        <is>
          <t>Per facility and scope</t>
        </is>
      </c>
      <c r="F5" s="78" t="inlineStr">
        <is>
          <t>Do not use ambiguous 'NEV'; confirm whether NABL/non-NABL is intended</t>
        </is>
      </c>
    </row>
    <row r="6" ht="38" customHeight="1" s="28">
      <c r="A6" s="78" t="inlineStr">
        <is>
          <t>Service capability</t>
        </is>
      </c>
      <c r="B6" s="78" t="inlineStr">
        <is>
          <t>Specialties, tests performed onsite, tests referred out, instruments, hours</t>
        </is>
      </c>
      <c r="C6" s="78" t="inlineStr">
        <is>
          <t>Required</t>
        </is>
      </c>
      <c r="D6" s="78" t="inlineStr">
        <is>
          <t>Hematology / biochemistry / microbiology / histopathology / cytology / molecular etc.</t>
        </is>
      </c>
      <c r="E6" s="78" t="inlineStr">
        <is>
          <t>Per facility</t>
        </is>
      </c>
      <c r="F6" s="78" t="inlineStr">
        <is>
          <t>Prevent order routing to unavailable service</t>
        </is>
      </c>
    </row>
    <row r="7" ht="38" customHeight="1" s="28">
      <c r="A7" s="78" t="inlineStr">
        <is>
          <t>Quality controls</t>
        </is>
      </c>
      <c r="B7" s="78" t="inlineStr">
        <is>
          <t>Applicable SOPs, IQC frequency, EQA/PT participation, document versions, QC release rules</t>
        </is>
      </c>
      <c r="C7" s="78" t="inlineStr">
        <is>
          <t>Policy-dependent; define for all facilities</t>
        </is>
      </c>
      <c r="D7" s="78" t="inlineStr">
        <is>
          <t>Enabled / not applicable with rationale / pending</t>
        </is>
      </c>
      <c r="E7" s="78" t="inlineStr">
        <is>
          <t>Per test, section, instrument</t>
        </is>
      </c>
      <c r="F7" s="78" t="inlineStr">
        <is>
          <t>Accreditation may change evidence and controls; do not remove baseline quality safeguards</t>
        </is>
      </c>
    </row>
    <row r="8" ht="38" customHeight="1" s="28">
      <c r="A8" s="78" t="inlineStr">
        <is>
          <t>Report identity</t>
        </is>
      </c>
      <c r="B8" s="78" t="inlineStr">
        <is>
          <t>Report header, facility address, registration identifiers, authorized signers, disclaimer templates</t>
        </is>
      </c>
      <c r="C8" s="78" t="inlineStr">
        <is>
          <t>Required</t>
        </is>
      </c>
      <c r="D8" s="78" t="inlineStr">
        <is>
          <t>Template by facility / specialty</t>
        </is>
      </c>
      <c r="E8" s="78" t="inlineStr">
        <is>
          <t>Per facility</t>
        </is>
      </c>
      <c r="F8" s="78" t="inlineStr">
        <is>
          <t>Report must identify performing lab and referral lab where relevant</t>
        </is>
      </c>
    </row>
    <row r="9" ht="38" customHeight="1" s="28">
      <c r="A9" s="78" t="inlineStr">
        <is>
          <t>Pricing &amp; contracts</t>
        </is>
      </c>
      <c r="B9" s="78" t="inlineStr">
        <is>
          <t>Price list, client-specific rate, effective dates, tax configuration, credit terms</t>
        </is>
      </c>
      <c r="C9" s="78" t="inlineStr">
        <is>
          <t>Required where billing enabled</t>
        </is>
      </c>
      <c r="D9" s="78" t="inlineStr">
        <is>
          <t>Retail / B2B / corporate / package</t>
        </is>
      </c>
      <c r="E9" s="78" t="inlineStr">
        <is>
          <t>Per branch/client</t>
        </is>
      </c>
      <c r="F9" s="78" t="inlineStr">
        <is>
          <t>Price changes versioned; no retroactive silent changes</t>
        </is>
      </c>
    </row>
    <row r="10" ht="38" customHeight="1" s="28">
      <c r="A10" s="78" t="inlineStr">
        <is>
          <t>Workflow configuration</t>
        </is>
      </c>
      <c r="B10" s="78" t="inlineStr">
        <is>
          <t>Specimen rules, stability, container, collection instructions, TAT, critical limits, routing</t>
        </is>
      </c>
      <c r="C10" s="78" t="inlineStr">
        <is>
          <t>Required per test</t>
        </is>
      </c>
      <c r="D10" s="78" t="inlineStr">
        <is>
          <t>Test-specific rule sets</t>
        </is>
      </c>
      <c r="E10" s="78" t="inlineStr">
        <is>
          <t>Per facility / test / method</t>
        </is>
      </c>
      <c r="F10" s="78" t="inlineStr">
        <is>
          <t>Clinical configuration requires review, effective date and audit trail</t>
        </is>
      </c>
    </row>
    <row r="11" ht="38" customHeight="1" s="28">
      <c r="A11" s="78" t="inlineStr">
        <is>
          <t>Retention &amp; privacy</t>
        </is>
      </c>
      <c r="B11" s="78" t="inlineStr">
        <is>
          <t>Retention policy, consent rules, access restrictions, export policy</t>
        </is>
      </c>
      <c r="C11" s="78" t="inlineStr">
        <is>
          <t>Required policy decision</t>
        </is>
      </c>
      <c r="D11" s="78" t="inlineStr">
        <is>
          <t>By data type and applicable rules</t>
        </is>
      </c>
      <c r="E11" s="78" t="inlineStr">
        <is>
          <t>Tenant / facility</t>
        </is>
      </c>
      <c r="F11" s="78" t="inlineStr">
        <is>
          <t>Review applicable Indian legal, clinical and data-protection requirements</t>
        </is>
      </c>
    </row>
  </sheetData>
  <autoFilter ref="A3:F11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28" min="1" max="1"/>
    <col width="32" customWidth="1" style="28" min="2" max="2"/>
    <col width="35" customWidth="1" style="28" min="3" max="3"/>
    <col width="43" customWidth="1" style="28" min="4" max="4"/>
    <col width="62" customWidth="1" style="28" min="5" max="5"/>
  </cols>
  <sheetData>
    <row r="1" ht="32" customHeight="1" s="28">
      <c r="A1" s="76" t="inlineStr">
        <is>
          <t>Core Data Entities &amp; Linking Rules</t>
        </is>
      </c>
    </row>
    <row r="2" ht="32" customHeight="1" s="28">
      <c r="A2" s="36" t="inlineStr">
        <is>
          <t>Recommended logical data model for engineering handoff. Use IDs and relationships rather than spreadsheet row positions; clinical records need versioning and audit events.</t>
        </is>
      </c>
    </row>
    <row r="3" ht="34" customHeight="1" s="28">
      <c r="A3" s="77" t="inlineStr">
        <is>
          <t>Entity</t>
        </is>
      </c>
      <c r="B3" s="77" t="inlineStr">
        <is>
          <t>Primary identifier</t>
        </is>
      </c>
      <c r="C3" s="77" t="inlineStr">
        <is>
          <t>Identity rule</t>
        </is>
      </c>
      <c r="D3" s="77" t="inlineStr">
        <is>
          <t>Linked entities / use</t>
        </is>
      </c>
      <c r="E3" s="77" t="inlineStr">
        <is>
          <t>Integrity / privacy note</t>
        </is>
      </c>
      <c r="F3" s="77" t="n"/>
    </row>
    <row r="4" ht="38" customHeight="1" s="28">
      <c r="A4" s="78" t="inlineStr">
        <is>
          <t>Patient</t>
        </is>
      </c>
      <c r="B4" s="78" t="inlineStr">
        <is>
          <t>PatientID</t>
        </is>
      </c>
      <c r="C4" s="78" t="inlineStr">
        <is>
          <t>Stable unique identifier</t>
        </is>
      </c>
      <c r="D4" s="78" t="inlineStr">
        <is>
          <t>Order, Report, Portal</t>
        </is>
      </c>
      <c r="E4" s="78" t="inlineStr">
        <is>
          <t>PII access controlled; duplicate detection</t>
        </is>
      </c>
      <c r="F4" s="79" t="n"/>
    </row>
    <row r="5" ht="38" customHeight="1" s="28">
      <c r="A5" s="78" t="inlineStr">
        <is>
          <t>Client / Referrer</t>
        </is>
      </c>
      <c r="B5" s="78" t="inlineStr">
        <is>
          <t>AccountID / ReferrerID</t>
        </is>
      </c>
      <c r="C5" s="78" t="inlineStr">
        <is>
          <t>Stable unique identifier</t>
        </is>
      </c>
      <c r="D5" s="78" t="inlineStr">
        <is>
          <t>CRM, Order, Contract, Analytics</t>
        </is>
      </c>
      <c r="E5" s="78" t="inlineStr">
        <is>
          <t>Separate organization, clinician and patient records</t>
        </is>
      </c>
      <c r="F5" s="79" t="n"/>
    </row>
    <row r="6" ht="38" customHeight="1" s="28">
      <c r="A6" s="78" t="inlineStr">
        <is>
          <t>Order</t>
        </is>
      </c>
      <c r="B6" s="78" t="inlineStr">
        <is>
          <t>OrderID</t>
        </is>
      </c>
      <c r="C6" s="78" t="inlineStr">
        <is>
          <t>Stable unique identifier</t>
        </is>
      </c>
      <c r="D6" s="78" t="inlineStr">
        <is>
          <t>Patient, tests, invoice, samples</t>
        </is>
      </c>
      <c r="E6" s="78" t="inlineStr">
        <is>
          <t>Order is not the same entity as sample or test</t>
        </is>
      </c>
      <c r="F6" s="79" t="n"/>
    </row>
    <row r="7" ht="38" customHeight="1" s="28">
      <c r="A7" s="78" t="inlineStr">
        <is>
          <t>Order line</t>
        </is>
      </c>
      <c r="B7" s="78" t="inlineStr">
        <is>
          <t>OrderLineID</t>
        </is>
      </c>
      <c r="C7" s="78" t="inlineStr">
        <is>
          <t>One ordered test/panel per line</t>
        </is>
      </c>
      <c r="D7" s="78" t="inlineStr">
        <is>
          <t>Order, test catalog, worklist</t>
        </is>
      </c>
      <c r="E7" s="78" t="inlineStr">
        <is>
          <t>Supports panels and multiple tests</t>
        </is>
      </c>
      <c r="F7" s="79" t="n"/>
    </row>
    <row r="8" ht="38" customHeight="1" s="28">
      <c r="A8" s="78" t="inlineStr">
        <is>
          <t>Specimen</t>
        </is>
      </c>
      <c r="B8" s="78" t="inlineStr">
        <is>
          <t>SampleID</t>
        </is>
      </c>
      <c r="C8" s="78" t="inlineStr">
        <is>
          <t>Barcode + stable internal ID</t>
        </is>
      </c>
      <c r="D8" s="78" t="inlineStr">
        <is>
          <t>Order, aliquot, custody, worklist</t>
        </is>
      </c>
      <c r="E8" s="78" t="inlineStr">
        <is>
          <t>One order may produce multiple specimens</t>
        </is>
      </c>
      <c r="F8" s="79" t="n"/>
    </row>
    <row r="9" ht="38" customHeight="1" s="28">
      <c r="A9" s="78" t="inlineStr">
        <is>
          <t>Aliquot</t>
        </is>
      </c>
      <c r="B9" s="78" t="inlineStr">
        <is>
          <t>AliquotID + ParentSampleID</t>
        </is>
      </c>
      <c r="C9" s="78" t="inlineStr">
        <is>
          <t>Stable ID and parent-child relationship</t>
        </is>
      </c>
      <c r="D9" s="78" t="inlineStr">
        <is>
          <t>Specimen, storage, routing</t>
        </is>
      </c>
      <c r="E9" s="78" t="inlineStr">
        <is>
          <t>Preserve genealogy and custody</t>
        </is>
      </c>
      <c r="F9" s="79" t="n"/>
    </row>
    <row r="10" ht="38" customHeight="1" s="28">
      <c r="A10" s="78" t="inlineStr">
        <is>
          <t>Worklist item</t>
        </is>
      </c>
      <c r="B10" s="78" t="inlineStr">
        <is>
          <t>WorklistItemID</t>
        </is>
      </c>
      <c r="C10" s="78" t="inlineStr">
        <is>
          <t>Stable unique identifier</t>
        </is>
      </c>
      <c r="D10" s="78" t="inlineStr">
        <is>
          <t>Sample, test, section, run</t>
        </is>
      </c>
      <c r="E10" s="78" t="inlineStr">
        <is>
          <t>One test can have rerun attempts</t>
        </is>
      </c>
      <c r="F10" s="79" t="n"/>
    </row>
    <row r="11" ht="38" customHeight="1" s="28">
      <c r="A11" s="78" t="inlineStr">
        <is>
          <t>Run / instrument event</t>
        </is>
      </c>
      <c r="B11" s="78" t="inlineStr">
        <is>
          <t>RunID / InstrumentEventID</t>
        </is>
      </c>
      <c r="C11" s="78" t="inlineStr">
        <is>
          <t>Stable unique identifier</t>
        </is>
      </c>
      <c r="D11" s="78" t="inlineStr">
        <is>
          <t>Instrument, lot, QC, results</t>
        </is>
      </c>
      <c r="E11" s="78" t="inlineStr">
        <is>
          <t>Capture raw interface message and status</t>
        </is>
      </c>
      <c r="F11" s="79" t="n"/>
    </row>
    <row r="12" ht="38" customHeight="1" s="28">
      <c r="A12" s="78" t="inlineStr">
        <is>
          <t>Result</t>
        </is>
      </c>
      <c r="B12" s="78" t="inlineStr">
        <is>
          <t>ResultID + Version</t>
        </is>
      </c>
      <c r="C12" s="78" t="inlineStr">
        <is>
          <t>Versioned record</t>
        </is>
      </c>
      <c r="D12" s="78" t="inlineStr">
        <is>
          <t>Worklist, report, audit</t>
        </is>
      </c>
      <c r="E12" s="78" t="inlineStr">
        <is>
          <t>Separate draft, validated, authorized, released states</t>
        </is>
      </c>
      <c r="F12" s="79" t="n"/>
    </row>
    <row r="13" ht="38" customHeight="1" s="28">
      <c r="A13" s="78" t="inlineStr">
        <is>
          <t>Report</t>
        </is>
      </c>
      <c r="B13" s="78" t="inlineStr">
        <is>
          <t>ReportID + Version</t>
        </is>
      </c>
      <c r="C13" s="78" t="inlineStr">
        <is>
          <t>Versioned document identity</t>
        </is>
      </c>
      <c r="D13" s="78" t="inlineStr">
        <is>
          <t>Order, results, delivery</t>
        </is>
      </c>
      <c r="E13" s="78" t="inlineStr">
        <is>
          <t>Corrections create new versions</t>
        </is>
      </c>
      <c r="F13" s="79" t="n"/>
    </row>
    <row r="14" ht="38" customHeight="1" s="28">
      <c r="A14" s="78" t="inlineStr">
        <is>
          <t>Invoice / payment</t>
        </is>
      </c>
      <c r="B14" s="78" t="inlineStr">
        <is>
          <t>InvoiceID / PaymentID</t>
        </is>
      </c>
      <c r="C14" s="78" t="inlineStr">
        <is>
          <t>Stable unique identifier</t>
        </is>
      </c>
      <c r="D14" s="78" t="inlineStr">
        <is>
          <t>Order, client, receivable</t>
        </is>
      </c>
      <c r="E14" s="78" t="inlineStr">
        <is>
          <t>Financial status independent from clinical status</t>
        </is>
      </c>
      <c r="F14" s="79" t="n"/>
    </row>
    <row r="15" ht="38" customHeight="1" s="28">
      <c r="A15" s="78" t="inlineStr">
        <is>
          <t>QC event</t>
        </is>
      </c>
      <c r="B15" s="78" t="inlineStr">
        <is>
          <t>QCEventID</t>
        </is>
      </c>
      <c r="C15" s="78" t="inlineStr">
        <is>
          <t>Stable unique identifier</t>
        </is>
      </c>
      <c r="D15" s="78" t="inlineStr">
        <is>
          <t>Instrument, lot, affected runs/tests</t>
        </is>
      </c>
      <c r="E15" s="78" t="inlineStr">
        <is>
          <t>Link QC failure to affected result holds</t>
        </is>
      </c>
      <c r="F15" s="79" t="n"/>
    </row>
    <row r="16" ht="38" customHeight="1" s="28">
      <c r="A16" s="78" t="inlineStr">
        <is>
          <t>Audit event</t>
        </is>
      </c>
      <c r="B16" s="78" t="inlineStr">
        <is>
          <t>AuditEventID</t>
        </is>
      </c>
      <c r="C16" s="78" t="inlineStr">
        <is>
          <t>Append-only event identity</t>
        </is>
      </c>
      <c r="D16" s="78" t="inlineStr">
        <is>
          <t>Any sensitive create/edit/approve/export</t>
        </is>
      </c>
      <c r="E16" s="78" t="inlineStr">
        <is>
          <t>Actor, timestamp, action, reason, before/after metadata</t>
        </is>
      </c>
      <c r="F16" s="79" t="n"/>
    </row>
    <row r="17" ht="38" customHeight="1" s="28">
      <c r="A17" s="78" t="inlineStr">
        <is>
          <t>Facility / Branch</t>
        </is>
      </c>
      <c r="B17" s="78" t="inlineStr">
        <is>
          <t>FacilityID</t>
        </is>
      </c>
      <c r="C17" s="78" t="inlineStr">
        <is>
          <t>Stable unique identifier</t>
        </is>
      </c>
      <c r="D17" s="78" t="inlineStr">
        <is>
          <t>Users, orders, tests, reports, config</t>
        </is>
      </c>
      <c r="E17" s="78" t="inlineStr">
        <is>
          <t>Enforce tenant/branch context</t>
        </is>
      </c>
      <c r="F17" s="79" t="n"/>
    </row>
  </sheetData>
  <autoFilter ref="A3:E17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F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28" min="1" max="1"/>
    <col width="70" customWidth="1" style="28" min="2" max="2"/>
    <col width="22" customWidth="1" style="28" min="3" max="3"/>
    <col width="66" customWidth="1" style="28" min="4" max="4"/>
    <col width="25" customWidth="1" style="28" min="5" max="5"/>
  </cols>
  <sheetData>
    <row r="1" ht="32" customHeight="1" s="28">
      <c r="A1" s="76" t="inlineStr">
        <is>
          <t>Implementation Roadmap &amp; Acceptance Gates</t>
        </is>
      </c>
    </row>
    <row r="2" ht="32" customHeight="1" s="28">
      <c r="A2" s="36" t="inlineStr">
        <is>
          <t>Recommended delivery sequence: make the clinical core safe and traceable before adding advanced CRM, finance, AI, or analytics features.</t>
        </is>
      </c>
    </row>
    <row r="3" ht="34" customHeight="1" s="28">
      <c r="A3" s="77" t="inlineStr">
        <is>
          <t>Phase</t>
        </is>
      </c>
      <c r="B3" s="77" t="inlineStr">
        <is>
          <t>Scope</t>
        </is>
      </c>
      <c r="C3" s="77" t="inlineStr">
        <is>
          <t>Priority</t>
        </is>
      </c>
      <c r="D3" s="77" t="inlineStr">
        <is>
          <t>Acceptance / risk gate</t>
        </is>
      </c>
      <c r="E3" s="77" t="inlineStr">
        <is>
          <t>Module type</t>
        </is>
      </c>
      <c r="F3" s="77" t="n"/>
    </row>
    <row r="4" ht="38" customHeight="1" s="28">
      <c r="A4" s="78" t="inlineStr">
        <is>
          <t>P0 — Foundation</t>
        </is>
      </c>
      <c r="B4" s="78" t="inlineStr">
        <is>
          <t>Facility/branch model, users/roles, patient/client/referrer, test catalog, order, specimen barcode, audit trail</t>
        </is>
      </c>
      <c r="C4" s="78" t="inlineStr">
        <is>
          <t>Build first</t>
        </is>
      </c>
      <c r="D4" s="78" t="inlineStr">
        <is>
          <t>No multi-user production use without authorization, stable IDs and audit trail</t>
        </is>
      </c>
      <c r="E4" s="78" t="inlineStr">
        <is>
          <t>Core</t>
        </is>
      </c>
      <c r="F4" s="79" t="n"/>
    </row>
    <row r="5" ht="38" customHeight="1" s="28">
      <c r="A5" s="78" t="inlineStr">
        <is>
          <t>P0 — Clinical path</t>
        </is>
      </c>
      <c r="B5" s="78" t="inlineStr">
        <is>
          <t>Collection/accession, sample rejection, section worklists, result entry, validation/authorization/release, report versioning</t>
        </is>
      </c>
      <c r="C5" s="78" t="inlineStr">
        <is>
          <t>Build first</t>
        </is>
      </c>
      <c r="D5" s="78" t="inlineStr">
        <is>
          <t>End-to-end scenario tests; no release bypasses</t>
        </is>
      </c>
      <c r="E5" s="78" t="inlineStr">
        <is>
          <t>Core</t>
        </is>
      </c>
      <c r="F5" s="79" t="n"/>
    </row>
    <row r="6" ht="38" customHeight="1" s="28">
      <c r="A6" s="78" t="inlineStr">
        <is>
          <t>P0 — Operational UX</t>
        </is>
      </c>
      <c r="B6" s="78" t="inlineStr">
        <is>
          <t>Dashboard, global search, queue filters, patient/order/sample 360, contextual deep links</t>
        </is>
      </c>
      <c r="C6" s="78" t="inlineStr">
        <is>
          <t>Build first</t>
        </is>
      </c>
      <c r="D6" s="78" t="inlineStr">
        <is>
          <t>Keyboard/scanner friendly; save and return paths; role-aware landing</t>
        </is>
      </c>
      <c r="E6" s="78" t="inlineStr">
        <is>
          <t>Core</t>
        </is>
      </c>
      <c r="F6" s="79" t="n"/>
    </row>
    <row r="7" ht="38" customHeight="1" s="28">
      <c r="A7" s="78" t="inlineStr">
        <is>
          <t>P1 — Quality &amp; reliability</t>
        </is>
      </c>
      <c r="B7" s="78" t="inlineStr">
        <is>
          <t>QC holds, lot/expiry tracking, critical result acknowledgement, CAPA, document control</t>
        </is>
      </c>
      <c r="C7" s="78" t="inlineStr">
        <is>
          <t>Next</t>
        </is>
      </c>
      <c r="D7" s="78" t="inlineStr">
        <is>
          <t>Validate SOP-based controls and auditability</t>
        </is>
      </c>
      <c r="E7" s="78" t="inlineStr">
        <is>
          <t>Core/configurable depth</t>
        </is>
      </c>
      <c r="F7" s="79" t="n"/>
    </row>
    <row r="8" ht="38" customHeight="1" s="28">
      <c r="A8" s="78" t="inlineStr">
        <is>
          <t>P1 — Commercial operations</t>
        </is>
      </c>
      <c r="B8" s="78" t="inlineStr">
        <is>
          <t>Invoices, payments, B2B contracts, price lists, receivables, client portal</t>
        </is>
      </c>
      <c r="C8" s="78" t="inlineStr">
        <is>
          <t>Next</t>
        </is>
      </c>
      <c r="D8" s="78" t="inlineStr">
        <is>
          <t>Clinical workflow remains independent from payment state</t>
        </is>
      </c>
      <c r="E8" s="78" t="inlineStr">
        <is>
          <t>Core if billing is in scope</t>
        </is>
      </c>
      <c r="F8" s="79" t="n"/>
    </row>
    <row r="9" ht="38" customHeight="1" s="28">
      <c r="A9" s="78" t="inlineStr">
        <is>
          <t>P1 — Integrations</t>
        </is>
      </c>
      <c r="B9" s="78" t="inlineStr">
        <is>
          <t>Analyzer interfaces, messaging, HL7/FHIR where appropriate, SMS/email, retry queue</t>
        </is>
      </c>
      <c r="C9" s="78" t="inlineStr">
        <is>
          <t>Next</t>
        </is>
      </c>
      <c r="D9" s="78" t="inlineStr">
        <is>
          <t>Idempotency, monitoring, dead-letter/replay and reconciliation</t>
        </is>
      </c>
      <c r="E9" s="78" t="inlineStr">
        <is>
          <t>Configurable</t>
        </is>
      </c>
      <c r="F9" s="79" t="n"/>
    </row>
    <row r="10" ht="38" customHeight="1" s="28">
      <c r="A10" s="78" t="inlineStr">
        <is>
          <t>P2 — Analytics</t>
        </is>
      </c>
      <c r="B10" s="78" t="inlineStr">
        <is>
          <t>TAT, rejection/recollection, workload, quality, revenue and client metrics</t>
        </is>
      </c>
      <c r="C10" s="78" t="inlineStr">
        <is>
          <t>After clean event data</t>
        </is>
      </c>
      <c r="D10" s="78" t="inlineStr">
        <is>
          <t>Metric definitions, data lineage and branch filters</t>
        </is>
      </c>
      <c r="E10" s="78" t="inlineStr">
        <is>
          <t>Core</t>
        </is>
      </c>
      <c r="F10" s="79" t="n"/>
    </row>
    <row r="11" ht="38" customHeight="1" s="28">
      <c r="A11" s="78" t="inlineStr">
        <is>
          <t>P2 — AI assistance</t>
        </is>
      </c>
      <c r="B11" s="78" t="inlineStr">
        <is>
          <t>Natural-language search, queue summaries, explain flags, draft operational reports</t>
        </is>
      </c>
      <c r="C11" s="78" t="inlineStr">
        <is>
          <t>After permissions and audit</t>
        </is>
      </c>
      <c r="D11" s="78" t="inlineStr">
        <is>
          <t>Human confirmation for writes; no autonomous clinical authorization</t>
        </is>
      </c>
      <c r="E11" s="78" t="inlineStr">
        <is>
          <t>Optional</t>
        </is>
      </c>
      <c r="F11" s="79" t="n"/>
    </row>
    <row r="12" ht="38" customHeight="1" s="28">
      <c r="A12" s="78" t="inlineStr">
        <is>
          <t>P3 — Advanced modules</t>
        </is>
      </c>
      <c r="B12" s="78" t="inlineStr">
        <is>
          <t>HR/payroll, procurement workflows, route optimization, advanced finance, predictive analytics</t>
        </is>
      </c>
      <c r="C12" s="78" t="inlineStr">
        <is>
          <t>Only if validated by need</t>
        </is>
      </c>
      <c r="D12" s="78" t="inlineStr">
        <is>
          <t>Avoid overloading top navigation; use contextual sub-pages</t>
        </is>
      </c>
      <c r="E12" s="78" t="inlineStr">
        <is>
          <t>Optional</t>
        </is>
      </c>
      <c r="F12" s="79" t="n"/>
    </row>
  </sheetData>
  <autoFilter ref="A3:E12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1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28" min="1" max="1"/>
    <col width="58" customWidth="1" style="28" min="2" max="2"/>
    <col width="35" customWidth="1" style="28" min="3" max="3"/>
    <col width="68" customWidth="1" style="28" min="4" max="4"/>
    <col width="18" customWidth="1" style="28" min="5" max="5"/>
  </cols>
  <sheetData>
    <row r="1" ht="32" customHeight="1" s="28">
      <c r="A1" s="76" t="inlineStr">
        <is>
          <t>UI/UX Design Standards &amp; Interaction Rules</t>
        </is>
      </c>
    </row>
    <row r="2" ht="32" customHeight="1" s="28">
      <c r="A2" s="36" t="inlineStr">
        <is>
          <t>Treat this workbook as a product design/requirements artifact. The production application should implement these patterns in a database-backed app, not as a shared Excel LIMS.</t>
        </is>
      </c>
    </row>
    <row r="3" ht="34" customHeight="1" s="28">
      <c r="A3" s="77" t="inlineStr">
        <is>
          <t>Pattern</t>
        </is>
      </c>
      <c r="B3" s="77" t="inlineStr">
        <is>
          <t>Recommendation</t>
        </is>
      </c>
      <c r="C3" s="77" t="inlineStr">
        <is>
          <t>Where used</t>
        </is>
      </c>
      <c r="D3" s="77" t="inlineStr">
        <is>
          <t>Rule / rationale</t>
        </is>
      </c>
      <c r="E3" s="77" t="inlineStr">
        <is>
          <t>Priority</t>
        </is>
      </c>
      <c r="F3" s="77" t="n"/>
    </row>
    <row r="4" ht="38" customHeight="1" s="28">
      <c r="A4" s="78" t="inlineStr">
        <is>
          <t>Global shell</t>
        </is>
      </c>
      <c r="B4" s="78" t="inlineStr">
        <is>
          <t>Persistent left navigation + top global search + facility switcher + user/role menu</t>
        </is>
      </c>
      <c r="C4" s="78" t="inlineStr">
        <is>
          <t>All screens</t>
        </is>
      </c>
      <c r="D4" s="78" t="inlineStr">
        <is>
          <t>Keep main navigation to ~8–10 visible groups; use nested sub-navigation</t>
        </is>
      </c>
      <c r="E4" s="78" t="inlineStr">
        <is>
          <t>Must</t>
        </is>
      </c>
      <c r="F4" s="79" t="n"/>
    </row>
    <row r="5" ht="38" customHeight="1" s="28">
      <c r="A5" s="78" t="inlineStr">
        <is>
          <t>Primary actions</t>
        </is>
      </c>
      <c r="B5" s="78" t="inlineStr">
        <is>
          <t>New order, scan sample, collect, receive, enter results, review queue</t>
        </is>
      </c>
      <c r="C5" s="78" t="inlineStr">
        <is>
          <t>Role-based</t>
        </is>
      </c>
      <c r="D5" s="78" t="inlineStr">
        <is>
          <t>Only show actions permitted for current role and current state</t>
        </is>
      </c>
      <c r="E5" s="78" t="inlineStr">
        <is>
          <t>Must</t>
        </is>
      </c>
      <c r="F5" s="79" t="n"/>
    </row>
    <row r="6" ht="38" customHeight="1" s="28">
      <c r="A6" s="78" t="inlineStr">
        <is>
          <t>Patient / order 360</t>
        </is>
      </c>
      <c r="B6" s="78" t="inlineStr">
        <is>
          <t>Identity banner, allergies/clinical notes where relevant, orders, specimens, results, invoices, activity</t>
        </is>
      </c>
      <c r="C6" s="78" t="inlineStr">
        <is>
          <t>Patient and order detail</t>
        </is>
      </c>
      <c r="D6" s="78" t="inlineStr">
        <is>
          <t>Use tabs within page; avoid forcing users across unrelated top-level tabs</t>
        </is>
      </c>
      <c r="E6" s="78" t="inlineStr">
        <is>
          <t>Must</t>
        </is>
      </c>
      <c r="F6" s="79" t="n"/>
    </row>
    <row r="7" ht="38" customHeight="1" s="28">
      <c r="A7" s="78" t="inlineStr">
        <is>
          <t>Tables / queues</t>
        </is>
      </c>
      <c r="B7" s="78" t="inlineStr">
        <is>
          <t>Saved filters, column chooser, bulk actions, sticky headers, pagination, keyboard navigation</t>
        </is>
      </c>
      <c r="C7" s="78" t="inlineStr">
        <is>
          <t>Worklists and CRM lists</t>
        </is>
      </c>
      <c r="D7" s="78" t="inlineStr">
        <is>
          <t>Show ID, status, priority, due/TAT and next action first</t>
        </is>
      </c>
      <c r="E7" s="78" t="inlineStr">
        <is>
          <t>Must</t>
        </is>
      </c>
      <c r="F7" s="79" t="n"/>
    </row>
    <row r="8" ht="38" customHeight="1" s="28">
      <c r="A8" s="78" t="inlineStr">
        <is>
          <t>Drawers vs pages</t>
        </is>
      </c>
      <c r="B8" s="78" t="inlineStr">
        <is>
          <t>Right drawer for quick peek/edit; full page for complex clinical workflows</t>
        </is>
      </c>
      <c r="C8" s="78" t="inlineStr">
        <is>
          <t>Global</t>
        </is>
      </c>
      <c r="D8" s="78" t="inlineStr">
        <is>
          <t>Do not put multi-step result authorization or large forms in cramped modals</t>
        </is>
      </c>
      <c r="E8" s="78" t="inlineStr">
        <is>
          <t>Must</t>
        </is>
      </c>
      <c r="F8" s="79" t="n"/>
    </row>
    <row r="9" ht="38" customHeight="1" s="28">
      <c r="A9" s="78" t="inlineStr">
        <is>
          <t>Status language</t>
        </is>
      </c>
      <c r="B9" s="78" t="inlineStr">
        <is>
          <t>Draft, collected, received, accepted, rejected, in process, pending QC, validated, authorized, released, amended</t>
        </is>
      </c>
      <c r="C9" s="78" t="inlineStr">
        <is>
          <t>All workflow screens</t>
        </is>
      </c>
      <c r="D9" s="78" t="inlineStr">
        <is>
          <t>Use consistent status vocabulary and explicit allowed transitions</t>
        </is>
      </c>
      <c r="E9" s="78" t="inlineStr">
        <is>
          <t>Must</t>
        </is>
      </c>
      <c r="F9" s="79" t="n"/>
    </row>
    <row r="10" ht="38" customHeight="1" s="28">
      <c r="A10" s="78" t="inlineStr">
        <is>
          <t>Warnings / blockers</t>
        </is>
      </c>
      <c r="B10" s="78" t="inlineStr">
        <is>
          <t>Clear severity, reason, affected records, required next action</t>
        </is>
      </c>
      <c r="C10" s="78" t="inlineStr">
        <is>
          <t>QC, sample, result, interface errors</t>
        </is>
      </c>
      <c r="D10" s="78" t="inlineStr">
        <is>
          <t>A blocker must explain what is blocked and who can resolve it</t>
        </is>
      </c>
      <c r="E10" s="78" t="inlineStr">
        <is>
          <t>Must</t>
        </is>
      </c>
      <c r="F10" s="79" t="n"/>
    </row>
    <row r="11" ht="38" customHeight="1" s="28">
      <c r="A11" s="78" t="inlineStr">
        <is>
          <t>Audit visibility</t>
        </is>
      </c>
      <c r="B11" s="78" t="inlineStr">
        <is>
          <t>Activity timeline and 'who changed what and why' on sensitive records</t>
        </is>
      </c>
      <c r="C11" s="78" t="inlineStr">
        <is>
          <t>Clinical, billing, admin</t>
        </is>
      </c>
      <c r="D11" s="78" t="inlineStr">
        <is>
          <t>Capture actor, timestamp, reason, before/after; restrict sensitive detail</t>
        </is>
      </c>
      <c r="E11" s="78" t="inlineStr">
        <is>
          <t>Must</t>
        </is>
      </c>
      <c r="F11" s="79" t="n"/>
    </row>
    <row r="12" ht="38" customHeight="1" s="28">
      <c r="A12" s="78" t="inlineStr">
        <is>
          <t>Accessibility</t>
        </is>
      </c>
      <c r="B12" s="78" t="inlineStr">
        <is>
          <t>Keyboard-first workflows, scanner support, contrast, readable status text, bilingual labels if needed</t>
        </is>
      </c>
      <c r="C12" s="78" t="inlineStr">
        <is>
          <t>All screens</t>
        </is>
      </c>
      <c r="D12" s="78" t="inlineStr">
        <is>
          <t>Do not rely on color alone; preserve standard English clinical terms</t>
        </is>
      </c>
      <c r="E12" s="78" t="inlineStr">
        <is>
          <t>Must</t>
        </is>
      </c>
      <c r="F12" s="79" t="n"/>
    </row>
    <row r="13" ht="38" customHeight="1" s="28">
      <c r="A13" s="78" t="inlineStr">
        <is>
          <t>AI assistant</t>
        </is>
      </c>
      <c r="B13" s="78" t="inlineStr">
        <is>
          <t>Context-aware side panel, suggested queries, source links, preview-before-write</t>
        </is>
      </c>
      <c r="C13" s="78" t="inlineStr">
        <is>
          <t>Optional</t>
        </is>
      </c>
      <c r="D13" s="78" t="inlineStr">
        <is>
          <t>Read-only by default; explicit confirmation and audit for writes</t>
        </is>
      </c>
      <c r="E13" s="78" t="inlineStr">
        <is>
          <t>Optional</t>
        </is>
      </c>
      <c r="F13" s="79" t="n"/>
    </row>
    <row r="14" ht="38" customHeight="1" s="28">
      <c r="A14" s="78" t="inlineStr">
        <is>
          <t>Excel prototype limitations</t>
        </is>
      </c>
      <c r="B14" s="78" t="inlineStr">
        <is>
          <t>Use workbook for IA review, field inventory and screen mapping only</t>
        </is>
      </c>
      <c r="C14" s="78" t="inlineStr">
        <is>
          <t>Prototype stage</t>
        </is>
      </c>
      <c r="D14" s="78" t="inlineStr">
        <is>
          <t>Excel hyperlinks cannot safely implement concurrent multi-user clinical workflows or production RBAC</t>
        </is>
      </c>
      <c r="E14" s="78" t="inlineStr">
        <is>
          <t>Must acknowledge</t>
        </is>
      </c>
      <c r="F14" s="79" t="n"/>
    </row>
  </sheetData>
  <autoFilter ref="A3:E14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F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28" min="1" max="1"/>
    <col width="66" customWidth="1" style="28" min="2" max="2"/>
    <col width="28" customWidth="1" style="28" min="3" max="3"/>
    <col width="20" customWidth="1" style="28" min="4" max="4"/>
    <col width="60" customWidth="1" style="28" min="5" max="5"/>
  </cols>
  <sheetData>
    <row r="1" ht="32" customHeight="1" s="28">
      <c r="A1" s="76" t="inlineStr">
        <is>
          <t>QA, Clinical Safety &amp; Release Checklist</t>
        </is>
      </c>
    </row>
    <row r="2" ht="32" customHeight="1" s="28">
      <c r="A2" s="36" t="inlineStr">
        <is>
          <t>Use this as a go/no-go checklist before pilot deployment. Assign named owners and evidence links during implementation.</t>
        </is>
      </c>
    </row>
    <row r="3" ht="34" customHeight="1" s="28">
      <c r="A3" s="77" t="inlineStr">
        <is>
          <t>Area</t>
        </is>
      </c>
      <c r="B3" s="77" t="inlineStr">
        <is>
          <t>Acceptance criterion</t>
        </is>
      </c>
      <c r="C3" s="77" t="inlineStr">
        <is>
          <t>Verification method</t>
        </is>
      </c>
      <c r="D3" s="77" t="inlineStr">
        <is>
          <t>Status</t>
        </is>
      </c>
      <c r="E3" s="77" t="inlineStr">
        <is>
          <t>Evidence / notes</t>
        </is>
      </c>
      <c r="F3" s="77" t="n"/>
    </row>
    <row r="4" ht="38" customHeight="1" s="28">
      <c r="A4" s="78" t="inlineStr">
        <is>
          <t>Navigation</t>
        </is>
      </c>
      <c r="B4" s="78" t="inlineStr">
        <is>
          <t>Main tabs ordered by user task; optional modules nested</t>
        </is>
      </c>
      <c r="C4" s="78" t="inlineStr">
        <is>
          <t>Design review</t>
        </is>
      </c>
      <c r="D4" s="78" t="inlineStr">
        <is>
          <t>Not started</t>
        </is>
      </c>
      <c r="E4" s="78" t="inlineStr">
        <is>
          <t>No more than ~8–10 primary groups; quick actions role-aware</t>
        </is>
      </c>
      <c r="F4" s="79" t="n"/>
    </row>
    <row r="5" ht="38" customHeight="1" s="28">
      <c r="A5" s="78" t="inlineStr">
        <is>
          <t>Identity</t>
        </is>
      </c>
      <c r="B5" s="78" t="inlineStr">
        <is>
          <t>Patient, order, sample, test, report and invoice have distinct stable IDs</t>
        </is>
      </c>
      <c r="C5" s="78" t="inlineStr">
        <is>
          <t>Engineering review</t>
        </is>
      </c>
      <c r="D5" s="78" t="inlineStr">
        <is>
          <t>Not started</t>
        </is>
      </c>
      <c r="E5" s="78" t="inlineStr">
        <is>
          <t>No row number or name as primary key</t>
        </is>
      </c>
      <c r="F5" s="79" t="n"/>
    </row>
    <row r="6" ht="38" customHeight="1" s="28">
      <c r="A6" s="78" t="inlineStr">
        <is>
          <t>Clinical state machine</t>
        </is>
      </c>
      <c r="B6" s="78" t="inlineStr">
        <is>
          <t>Only valid state transitions allowed; all overrides reason-coded</t>
        </is>
      </c>
      <c r="C6" s="78" t="inlineStr">
        <is>
          <t>QA + clinical owner</t>
        </is>
      </c>
      <c r="D6" s="78" t="inlineStr">
        <is>
          <t>Not started</t>
        </is>
      </c>
      <c r="E6" s="78" t="inlineStr">
        <is>
          <t>Rejected specimens and amended reports tested</t>
        </is>
      </c>
      <c r="F6" s="79" t="n"/>
    </row>
    <row r="7" ht="38" customHeight="1" s="28">
      <c r="A7" s="78" t="inlineStr">
        <is>
          <t>Authorization</t>
        </is>
      </c>
      <c r="B7" s="78" t="inlineStr">
        <is>
          <t>Technician cannot authorize/release unless explicitly credentialed</t>
        </is>
      </c>
      <c r="C7" s="78" t="inlineStr">
        <is>
          <t>Security test</t>
        </is>
      </c>
      <c r="D7" s="78" t="inlineStr">
        <is>
          <t>Not started</t>
        </is>
      </c>
      <c r="E7" s="78" t="inlineStr">
        <is>
          <t>Separation-of-duties tests included</t>
        </is>
      </c>
      <c r="F7" s="79" t="n"/>
    </row>
    <row r="8" ht="38" customHeight="1" s="28">
      <c r="A8" s="78" t="inlineStr">
        <is>
          <t>QC gate</t>
        </is>
      </c>
      <c r="B8" s="78" t="inlineStr">
        <is>
          <t>Failed required QC blocks affected result release according to approved policy</t>
        </is>
      </c>
      <c r="C8" s="78" t="inlineStr">
        <is>
          <t>Clinical validation</t>
        </is>
      </c>
      <c r="D8" s="78" t="inlineStr">
        <is>
          <t>Not started</t>
        </is>
      </c>
      <c r="E8" s="78" t="inlineStr">
        <is>
          <t>Test affected scope and release-hold workflow</t>
        </is>
      </c>
      <c r="F8" s="79" t="n"/>
    </row>
    <row r="9" ht="38" customHeight="1" s="28">
      <c r="A9" s="78" t="inlineStr">
        <is>
          <t>Critical results</t>
        </is>
      </c>
      <c r="B9" s="78" t="inlineStr">
        <is>
          <t>Notification, escalation and acknowledgement timestamps captured</t>
        </is>
      </c>
      <c r="C9" s="78" t="inlineStr">
        <is>
          <t>Simulation</t>
        </is>
      </c>
      <c r="D9" s="78" t="inlineStr">
        <is>
          <t>Not started</t>
        </is>
      </c>
      <c r="E9" s="78" t="inlineStr">
        <is>
          <t>Failed contact and escalation path tested</t>
        </is>
      </c>
      <c r="F9" s="79" t="n"/>
    </row>
    <row r="10" ht="38" customHeight="1" s="28">
      <c r="A10" s="78" t="inlineStr">
        <is>
          <t>Report correction</t>
        </is>
      </c>
      <c r="B10" s="78" t="inlineStr">
        <is>
          <t>Correction creates a new version and preserves original</t>
        </is>
      </c>
      <c r="C10" s="78" t="inlineStr">
        <is>
          <t>Regression test</t>
        </is>
      </c>
      <c r="D10" s="78" t="inlineStr">
        <is>
          <t>Not started</t>
        </is>
      </c>
      <c r="E10" s="78" t="inlineStr">
        <is>
          <t>Recipient notification and audit evidence verified</t>
        </is>
      </c>
      <c r="F10" s="79" t="n"/>
    </row>
    <row r="11" ht="38" customHeight="1" s="28">
      <c r="A11" s="78" t="inlineStr">
        <is>
          <t>Facility separation</t>
        </is>
      </c>
      <c r="B11" s="78" t="inlineStr">
        <is>
          <t>Users see only permitted branches/accounts/patients</t>
        </is>
      </c>
      <c r="C11" s="78" t="inlineStr">
        <is>
          <t>Security test</t>
        </is>
      </c>
      <c r="D11" s="78" t="inlineStr">
        <is>
          <t>Not started</t>
        </is>
      </c>
      <c r="E11" s="78" t="inlineStr">
        <is>
          <t>Try cross-branch deep links and search</t>
        </is>
      </c>
      <c r="F11" s="79" t="n"/>
    </row>
    <row r="12" ht="38" customHeight="1" s="28">
      <c r="A12" s="78" t="inlineStr">
        <is>
          <t>Integration reliability</t>
        </is>
      </c>
      <c r="B12" s="78" t="inlineStr">
        <is>
          <t>Retries are idempotent; failures visible and replayable</t>
        </is>
      </c>
      <c r="C12" s="78" t="inlineStr">
        <is>
          <t>Integration test</t>
        </is>
      </c>
      <c r="D12" s="78" t="inlineStr">
        <is>
          <t>Not started</t>
        </is>
      </c>
      <c r="E12" s="78" t="inlineStr">
        <is>
          <t>Duplicate message and out-of-order event tests</t>
        </is>
      </c>
      <c r="F12" s="79" t="n"/>
    </row>
    <row r="13" ht="38" customHeight="1" s="28">
      <c r="A13" s="78" t="inlineStr">
        <is>
          <t>Accreditation config</t>
        </is>
      </c>
      <c r="B13" s="78" t="inlineStr">
        <is>
          <t>NABL status, scope, validity, signers and required evidence configurable per facility</t>
        </is>
      </c>
      <c r="C13" s="78" t="inlineStr">
        <is>
          <t>Quality review</t>
        </is>
      </c>
      <c r="D13" s="78" t="inlineStr">
        <is>
          <t>Not started</t>
        </is>
      </c>
      <c r="E13" s="78" t="inlineStr">
        <is>
          <t>Expired/out-of-scope accreditation visibly flagged</t>
        </is>
      </c>
      <c r="F13" s="79" t="n"/>
    </row>
    <row r="14" ht="38" customHeight="1" s="28">
      <c r="A14" s="78" t="inlineStr">
        <is>
          <t>Privacy</t>
        </is>
      </c>
      <c r="B14" s="78" t="inlineStr">
        <is>
          <t>Exports, report views, access and privileged actions logged</t>
        </is>
      </c>
      <c r="C14" s="78" t="inlineStr">
        <is>
          <t>Security review</t>
        </is>
      </c>
      <c r="D14" s="78" t="inlineStr">
        <is>
          <t>Not started</t>
        </is>
      </c>
      <c r="E14" s="78" t="inlineStr">
        <is>
          <t>Retention and data access policies reviewed for India</t>
        </is>
      </c>
      <c r="F14" s="79" t="n"/>
    </row>
    <row r="15" ht="38" customHeight="1" s="28">
      <c r="A15" s="78" t="inlineStr">
        <is>
          <t>Usability</t>
        </is>
      </c>
      <c r="B15" s="78" t="inlineStr">
        <is>
          <t>Common tasks tested with reception, phlebotomy, technician and pathologist</t>
        </is>
      </c>
      <c r="C15" s="78" t="inlineStr">
        <is>
          <t>Usability test</t>
        </is>
      </c>
      <c r="D15" s="78" t="inlineStr">
        <is>
          <t>Not started</t>
        </is>
      </c>
      <c r="E15" s="78" t="inlineStr">
        <is>
          <t>Measure task completion, errors and time-on-task</t>
        </is>
      </c>
      <c r="F15" s="79" t="n"/>
    </row>
  </sheetData>
  <autoFilter ref="A3:E15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PATHO-AI LIMS — Refined UI/UX Workflow Blueprint</dc:title>
  <dc:subject xmlns:dc="http://purl.org/dc/elements/1.1/">Pathology CRM + LIMS information architecture, clinical workflow, permissions and UX</dc:subject>
  <dc:language xmlns:dc="http://purl.org/dc/elements/1.1/">en-US</dc:language>
  <dcterms:created xmlns:dcterms="http://purl.org/dc/terms/" xmlns:xsi="http://www.w3.org/2001/XMLSchema-instance" xsi:type="dcterms:W3CDTF">2026-10-17T20:09:48Z</dcterms:created>
  <dcterms:modified xmlns:dcterms="http://purl.org/dc/terms/" xmlns:xsi="http://www.w3.org/2001/XMLSchema-instance" xsi:type="dcterms:W3CDTF">2026-10-18T02:12:43Z</dcterms:modified>
  <cp:revision>0</cp:revision>
</cp:coreProperties>
</file>